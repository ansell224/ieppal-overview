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nselnatarajan/Desktop/ieppal-finances/"/>
    </mc:Choice>
  </mc:AlternateContent>
  <xr:revisionPtr revIDLastSave="0" documentId="13_ncr:1_{6B75804B-C82C-C447-97D1-784485DA4598}" xr6:coauthVersionLast="47" xr6:coauthVersionMax="47" xr10:uidLastSave="{00000000-0000-0000-0000-000000000000}"/>
  <bookViews>
    <workbookView xWindow="0" yWindow="600" windowWidth="38400" windowHeight="23400" tabRatio="500" activeTab="1" xr2:uid="{00000000-000D-0000-FFFF-FFFF00000000}"/>
  </bookViews>
  <sheets>
    <sheet name="Key Assumptions" sheetId="1" r:id="rId1"/>
    <sheet name="Income Statement" sheetId="2" r:id="rId2"/>
    <sheet name="Unit Economics" sheetId="3" r:id="rId3"/>
    <sheet name="Balance Sheet" sheetId="4" r:id="rId4"/>
    <sheet name="Cash Flow" sheetId="5" r:id="rId5"/>
    <sheet name="Headcount Plan" sheetId="6" r:id="rId6"/>
    <sheet name="ARR Waterfall" sheetId="7" r:id="rId7"/>
    <sheet name="Account Waterfall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8" l="1"/>
  <c r="B27" i="8"/>
  <c r="B19" i="8"/>
  <c r="C16" i="8" s="1"/>
  <c r="C18" i="8" s="1"/>
  <c r="B14" i="8"/>
  <c r="C13" i="8"/>
  <c r="C11" i="8"/>
  <c r="B9" i="8"/>
  <c r="C6" i="8" s="1"/>
  <c r="C9" i="8" s="1"/>
  <c r="C8" i="8"/>
  <c r="C27" i="8" s="1"/>
  <c r="D6" i="8"/>
  <c r="B20" i="7"/>
  <c r="B16" i="7"/>
  <c r="B17" i="7" s="1"/>
  <c r="B22" i="7" s="1"/>
  <c r="O15" i="6"/>
  <c r="N15" i="6"/>
  <c r="M15" i="6"/>
  <c r="L15" i="6"/>
  <c r="K15" i="6"/>
  <c r="J15" i="6"/>
  <c r="I15" i="6"/>
  <c r="H15" i="6"/>
  <c r="G15" i="6"/>
  <c r="F15" i="6"/>
  <c r="E15" i="6"/>
  <c r="D15" i="6"/>
  <c r="M26" i="5"/>
  <c r="L26" i="5"/>
  <c r="K26" i="5"/>
  <c r="J26" i="5"/>
  <c r="I26" i="5"/>
  <c r="H26" i="5"/>
  <c r="G26" i="5"/>
  <c r="F26" i="5"/>
  <c r="E26" i="5"/>
  <c r="D26" i="5"/>
  <c r="C26" i="5"/>
  <c r="B26" i="5"/>
  <c r="M19" i="5"/>
  <c r="L19" i="5"/>
  <c r="K19" i="5"/>
  <c r="J19" i="5"/>
  <c r="I19" i="5"/>
  <c r="H19" i="5"/>
  <c r="G19" i="5"/>
  <c r="F19" i="5"/>
  <c r="E19" i="5"/>
  <c r="D19" i="5"/>
  <c r="C19" i="5"/>
  <c r="B19" i="5"/>
  <c r="L7" i="5"/>
  <c r="K7" i="5"/>
  <c r="I7" i="5"/>
  <c r="H7" i="5"/>
  <c r="G7" i="5"/>
  <c r="B7" i="5"/>
  <c r="M34" i="4"/>
  <c r="L34" i="4"/>
  <c r="K34" i="4"/>
  <c r="J34" i="4"/>
  <c r="I34" i="4"/>
  <c r="H34" i="4"/>
  <c r="G34" i="4"/>
  <c r="F34" i="4"/>
  <c r="E34" i="4"/>
  <c r="D34" i="4"/>
  <c r="C34" i="4"/>
  <c r="B34" i="4"/>
  <c r="M17" i="4"/>
  <c r="L17" i="4"/>
  <c r="K17" i="4"/>
  <c r="J17" i="4"/>
  <c r="I17" i="4"/>
  <c r="H17" i="4"/>
  <c r="G17" i="4"/>
  <c r="F17" i="4"/>
  <c r="E17" i="4"/>
  <c r="D17" i="4"/>
  <c r="C17" i="4"/>
  <c r="B17" i="4"/>
  <c r="M169" i="2"/>
  <c r="L169" i="2"/>
  <c r="E169" i="2"/>
  <c r="D169" i="2"/>
  <c r="C169" i="2"/>
  <c r="B169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M138" i="2"/>
  <c r="M7" i="5" s="1"/>
  <c r="L138" i="2"/>
  <c r="K138" i="2"/>
  <c r="K169" i="2" s="1"/>
  <c r="J138" i="2"/>
  <c r="J169" i="2" s="1"/>
  <c r="I138" i="2"/>
  <c r="I169" i="2" s="1"/>
  <c r="H138" i="2"/>
  <c r="H169" i="2" s="1"/>
  <c r="G138" i="2"/>
  <c r="G169" i="2" s="1"/>
  <c r="F138" i="2"/>
  <c r="F7" i="5" s="1"/>
  <c r="E138" i="2"/>
  <c r="E7" i="5" s="1"/>
  <c r="D138" i="2"/>
  <c r="D7" i="5" s="1"/>
  <c r="C138" i="2"/>
  <c r="C7" i="5" s="1"/>
  <c r="B138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M97" i="2"/>
  <c r="L97" i="2"/>
  <c r="K97" i="2"/>
  <c r="J97" i="2"/>
  <c r="I97" i="2"/>
  <c r="H97" i="2"/>
  <c r="G97" i="2"/>
  <c r="F97" i="2"/>
  <c r="E97" i="2"/>
  <c r="D97" i="2"/>
  <c r="C97" i="2"/>
  <c r="B97" i="2"/>
  <c r="M84" i="2"/>
  <c r="L84" i="2"/>
  <c r="K84" i="2"/>
  <c r="J84" i="2"/>
  <c r="I84" i="2"/>
  <c r="H84" i="2"/>
  <c r="G84" i="2"/>
  <c r="F84" i="2"/>
  <c r="E84" i="2"/>
  <c r="D84" i="2"/>
  <c r="C84" i="2"/>
  <c r="B84" i="2"/>
  <c r="I66" i="2"/>
  <c r="M65" i="2"/>
  <c r="L65" i="2"/>
  <c r="K65" i="2"/>
  <c r="J65" i="2"/>
  <c r="I65" i="2"/>
  <c r="H65" i="2"/>
  <c r="G65" i="2"/>
  <c r="F65" i="2"/>
  <c r="E65" i="2"/>
  <c r="D65" i="2"/>
  <c r="C65" i="2"/>
  <c r="B65" i="2"/>
  <c r="K50" i="2"/>
  <c r="F50" i="2"/>
  <c r="B50" i="2"/>
  <c r="M49" i="2"/>
  <c r="L49" i="2"/>
  <c r="K49" i="2"/>
  <c r="J49" i="2"/>
  <c r="I49" i="2"/>
  <c r="H49" i="2"/>
  <c r="G49" i="2"/>
  <c r="F49" i="2"/>
  <c r="E49" i="2"/>
  <c r="E50" i="2" s="1"/>
  <c r="D49" i="2"/>
  <c r="D50" i="2" s="1"/>
  <c r="C49" i="2"/>
  <c r="C50" i="2" s="1"/>
  <c r="C8" i="7" s="1"/>
  <c r="B49" i="2"/>
  <c r="J40" i="2"/>
  <c r="J50" i="2" s="1"/>
  <c r="I40" i="2"/>
  <c r="I50" i="2" s="1"/>
  <c r="I8" i="7" s="1"/>
  <c r="H40" i="2"/>
  <c r="H50" i="2" s="1"/>
  <c r="H8" i="7" s="1"/>
  <c r="G40" i="2"/>
  <c r="G50" i="2" s="1"/>
  <c r="H38" i="2"/>
  <c r="I38" i="2" s="1"/>
  <c r="J38" i="2" s="1"/>
  <c r="K38" i="2" s="1"/>
  <c r="K40" i="2" s="1"/>
  <c r="M32" i="2"/>
  <c r="L32" i="2"/>
  <c r="K32" i="2"/>
  <c r="J32" i="2"/>
  <c r="I32" i="2"/>
  <c r="H32" i="2"/>
  <c r="G32" i="2"/>
  <c r="F32" i="2"/>
  <c r="E32" i="2"/>
  <c r="D32" i="2"/>
  <c r="C32" i="2"/>
  <c r="B32" i="2"/>
  <c r="B33" i="2" s="1"/>
  <c r="B7" i="7" s="1"/>
  <c r="B27" i="2"/>
  <c r="C25" i="2"/>
  <c r="C27" i="2" s="1"/>
  <c r="I20" i="2"/>
  <c r="I6" i="7" s="1"/>
  <c r="L19" i="2"/>
  <c r="K19" i="2"/>
  <c r="K20" i="2" s="1"/>
  <c r="J19" i="2"/>
  <c r="J20" i="2" s="1"/>
  <c r="I19" i="2"/>
  <c r="E19" i="2"/>
  <c r="D19" i="2"/>
  <c r="C19" i="2"/>
  <c r="C20" i="2" s="1"/>
  <c r="C8" i="3" s="1"/>
  <c r="B19" i="2"/>
  <c r="M18" i="2"/>
  <c r="M19" i="2" s="1"/>
  <c r="M20" i="2" s="1"/>
  <c r="L18" i="2"/>
  <c r="K18" i="2"/>
  <c r="J18" i="2"/>
  <c r="I18" i="2"/>
  <c r="H18" i="2"/>
  <c r="H19" i="2" s="1"/>
  <c r="G18" i="2"/>
  <c r="G19" i="2" s="1"/>
  <c r="F18" i="2"/>
  <c r="F19" i="2" s="1"/>
  <c r="M13" i="2"/>
  <c r="K13" i="2"/>
  <c r="J13" i="2"/>
  <c r="I13" i="2"/>
  <c r="E13" i="2"/>
  <c r="C13" i="2"/>
  <c r="B13" i="2"/>
  <c r="B20" i="2" s="1"/>
  <c r="M12" i="2"/>
  <c r="L12" i="2"/>
  <c r="L13" i="2" s="1"/>
  <c r="K12" i="2"/>
  <c r="J12" i="2"/>
  <c r="I12" i="2"/>
  <c r="H12" i="2"/>
  <c r="G12" i="2"/>
  <c r="F12" i="2"/>
  <c r="E12" i="2"/>
  <c r="D12" i="2"/>
  <c r="C12" i="2"/>
  <c r="C88" i="2" s="1"/>
  <c r="B12" i="2"/>
  <c r="B88" i="2" s="1"/>
  <c r="M28" i="3"/>
  <c r="L28" i="3"/>
  <c r="K28" i="3"/>
  <c r="J28" i="3"/>
  <c r="I28" i="3"/>
  <c r="H28" i="3"/>
  <c r="G28" i="3"/>
  <c r="F28" i="3"/>
  <c r="E28" i="3"/>
  <c r="D28" i="3"/>
  <c r="C28" i="3"/>
  <c r="B28" i="3"/>
  <c r="B27" i="3"/>
  <c r="M20" i="3"/>
  <c r="L20" i="3"/>
  <c r="K20" i="3"/>
  <c r="J20" i="3"/>
  <c r="I20" i="3"/>
  <c r="H20" i="3"/>
  <c r="G20" i="3"/>
  <c r="F20" i="3"/>
  <c r="E20" i="3"/>
  <c r="D20" i="3"/>
  <c r="D25" i="3" s="1"/>
  <c r="C20" i="3"/>
  <c r="C25" i="3" s="1"/>
  <c r="B20" i="3"/>
  <c r="B25" i="3" s="1"/>
  <c r="F19" i="3"/>
  <c r="E19" i="3"/>
  <c r="D19" i="3"/>
  <c r="B19" i="3"/>
  <c r="F16" i="3"/>
  <c r="E16" i="3"/>
  <c r="D16" i="3"/>
  <c r="C16" i="3"/>
  <c r="C19" i="3" s="1"/>
  <c r="B16" i="3"/>
  <c r="F13" i="3"/>
  <c r="E13" i="3"/>
  <c r="D13" i="3"/>
  <c r="C13" i="3"/>
  <c r="B13" i="3"/>
  <c r="J10" i="3"/>
  <c r="G10" i="3"/>
  <c r="F10" i="3"/>
  <c r="E10" i="3"/>
  <c r="C10" i="3"/>
  <c r="B10" i="3"/>
  <c r="I8" i="3"/>
  <c r="C5" i="3"/>
  <c r="B5" i="3"/>
  <c r="B8" i="3" l="1"/>
  <c r="B6" i="7"/>
  <c r="B52" i="2"/>
  <c r="J6" i="7"/>
  <c r="J8" i="3"/>
  <c r="K6" i="7"/>
  <c r="K8" i="3"/>
  <c r="L20" i="2"/>
  <c r="M6" i="7"/>
  <c r="M8" i="3"/>
  <c r="D88" i="2"/>
  <c r="D95" i="2" s="1"/>
  <c r="D152" i="2" s="1"/>
  <c r="E20" i="2"/>
  <c r="K8" i="7"/>
  <c r="J7" i="5"/>
  <c r="F13" i="2"/>
  <c r="D13" i="2"/>
  <c r="D20" i="2" s="1"/>
  <c r="D9" i="8"/>
  <c r="E6" i="8" s="1"/>
  <c r="H10" i="3"/>
  <c r="K10" i="3"/>
  <c r="B31" i="3"/>
  <c r="I10" i="3"/>
  <c r="C33" i="2"/>
  <c r="J8" i="7"/>
  <c r="D8" i="8"/>
  <c r="B21" i="7"/>
  <c r="C12" i="7"/>
  <c r="G13" i="2"/>
  <c r="G20" i="2" s="1"/>
  <c r="C6" i="7"/>
  <c r="D8" i="7"/>
  <c r="M66" i="2"/>
  <c r="B9" i="3"/>
  <c r="D10" i="3"/>
  <c r="F20" i="2"/>
  <c r="E8" i="7"/>
  <c r="E66" i="2"/>
  <c r="G8" i="7"/>
  <c r="C14" i="8"/>
  <c r="D11" i="8" s="1"/>
  <c r="C28" i="8"/>
  <c r="B8" i="7"/>
  <c r="B32" i="3" s="1"/>
  <c r="B96" i="2"/>
  <c r="B95" i="2"/>
  <c r="B152" i="2" s="1"/>
  <c r="F169" i="2"/>
  <c r="D25" i="2"/>
  <c r="L38" i="2"/>
  <c r="C96" i="2"/>
  <c r="C95" i="2"/>
  <c r="C152" i="2" s="1"/>
  <c r="H13" i="2"/>
  <c r="H20" i="2" s="1"/>
  <c r="D96" i="2"/>
  <c r="F8" i="7"/>
  <c r="C19" i="8"/>
  <c r="D16" i="8" s="1"/>
  <c r="D6" i="7" l="1"/>
  <c r="D8" i="3"/>
  <c r="D11" i="3" s="1"/>
  <c r="D14" i="3" s="1"/>
  <c r="D17" i="3" s="1"/>
  <c r="G6" i="7"/>
  <c r="G8" i="3"/>
  <c r="C7" i="3"/>
  <c r="C11" i="3" s="1"/>
  <c r="C14" i="3" s="1"/>
  <c r="C17" i="3" s="1"/>
  <c r="L40" i="2"/>
  <c r="L50" i="2" s="1"/>
  <c r="M38" i="2"/>
  <c r="B67" i="2"/>
  <c r="D7" i="3"/>
  <c r="C32" i="3"/>
  <c r="F6" i="7"/>
  <c r="F8" i="3"/>
  <c r="C30" i="3"/>
  <c r="E6" i="7"/>
  <c r="E8" i="3"/>
  <c r="C7" i="7"/>
  <c r="C52" i="2"/>
  <c r="C9" i="3"/>
  <c r="E9" i="8"/>
  <c r="F6" i="8" s="1"/>
  <c r="E8" i="8"/>
  <c r="L6" i="7"/>
  <c r="L8" i="3"/>
  <c r="C20" i="7"/>
  <c r="C15" i="7"/>
  <c r="C26" i="7" s="1"/>
  <c r="D27" i="2"/>
  <c r="D33" i="2" s="1"/>
  <c r="E25" i="2"/>
  <c r="D28" i="8"/>
  <c r="D5" i="3"/>
  <c r="E6" i="3"/>
  <c r="C14" i="7"/>
  <c r="B52" i="4"/>
  <c r="B54" i="4" s="1"/>
  <c r="B69" i="2"/>
  <c r="B24" i="3"/>
  <c r="B29" i="8"/>
  <c r="B30" i="8" s="1"/>
  <c r="D18" i="8"/>
  <c r="D27" i="8" s="1"/>
  <c r="D14" i="8"/>
  <c r="E11" i="8" s="1"/>
  <c r="D13" i="8"/>
  <c r="B30" i="3"/>
  <c r="B9" i="7"/>
  <c r="H6" i="7"/>
  <c r="H8" i="3"/>
  <c r="B7" i="3"/>
  <c r="B11" i="3" s="1"/>
  <c r="B14" i="3" s="1"/>
  <c r="B17" i="3" s="1"/>
  <c r="B23" i="3"/>
  <c r="B98" i="2"/>
  <c r="D19" i="8" l="1"/>
  <c r="C29" i="8"/>
  <c r="C30" i="8" s="1"/>
  <c r="C52" i="4"/>
  <c r="C24" i="3"/>
  <c r="C69" i="2"/>
  <c r="M40" i="2"/>
  <c r="M50" i="2" s="1"/>
  <c r="D14" i="7"/>
  <c r="C31" i="3"/>
  <c r="L8" i="7"/>
  <c r="L10" i="3"/>
  <c r="C16" i="7"/>
  <c r="B12" i="3"/>
  <c r="B15" i="3" s="1"/>
  <c r="B18" i="3" s="1"/>
  <c r="C27" i="7"/>
  <c r="C27" i="3" s="1"/>
  <c r="E30" i="3"/>
  <c r="C98" i="2"/>
  <c r="E28" i="8"/>
  <c r="E27" i="2"/>
  <c r="E33" i="2" s="1"/>
  <c r="F25" i="2"/>
  <c r="E5" i="3"/>
  <c r="E88" i="2"/>
  <c r="C23" i="3"/>
  <c r="B159" i="2"/>
  <c r="B164" i="2"/>
  <c r="D7" i="7"/>
  <c r="D9" i="3"/>
  <c r="D12" i="3" s="1"/>
  <c r="D15" i="3" s="1"/>
  <c r="D18" i="3" s="1"/>
  <c r="D52" i="2"/>
  <c r="C9" i="7"/>
  <c r="E13" i="8"/>
  <c r="E14" i="8" s="1"/>
  <c r="F11" i="8" s="1"/>
  <c r="B10" i="5"/>
  <c r="C53" i="4"/>
  <c r="C54" i="4" s="1"/>
  <c r="B24" i="4"/>
  <c r="B28" i="4" s="1"/>
  <c r="B36" i="4" s="1"/>
  <c r="C28" i="7"/>
  <c r="F8" i="8"/>
  <c r="C12" i="3"/>
  <c r="C15" i="3" s="1"/>
  <c r="C18" i="3" s="1"/>
  <c r="D30" i="3"/>
  <c r="D9" i="7"/>
  <c r="F13" i="8" l="1"/>
  <c r="F14" i="8"/>
  <c r="G11" i="8" s="1"/>
  <c r="M8" i="7"/>
  <c r="M10" i="3"/>
  <c r="E96" i="2"/>
  <c r="E95" i="2"/>
  <c r="E152" i="2" s="1"/>
  <c r="F28" i="8"/>
  <c r="F27" i="2"/>
  <c r="F33" i="2" s="1"/>
  <c r="G25" i="2"/>
  <c r="F5" i="3"/>
  <c r="F88" i="2"/>
  <c r="E7" i="7"/>
  <c r="E9" i="3"/>
  <c r="E52" i="2"/>
  <c r="C159" i="2"/>
  <c r="C164" i="2"/>
  <c r="C168" i="2" s="1"/>
  <c r="C170" i="2" s="1"/>
  <c r="C174" i="2" s="1"/>
  <c r="C176" i="2" s="1"/>
  <c r="C6" i="5" s="1"/>
  <c r="D29" i="8"/>
  <c r="D30" i="8" s="1"/>
  <c r="D24" i="3"/>
  <c r="D52" i="4"/>
  <c r="D69" i="2"/>
  <c r="D23" i="3"/>
  <c r="D98" i="2"/>
  <c r="E53" i="2"/>
  <c r="E70" i="2" s="1"/>
  <c r="C10" i="5"/>
  <c r="D53" i="4"/>
  <c r="D54" i="4" s="1"/>
  <c r="C24" i="4"/>
  <c r="C28" i="4" s="1"/>
  <c r="C36" i="4" s="1"/>
  <c r="E16" i="8"/>
  <c r="D32" i="3"/>
  <c r="C17" i="7"/>
  <c r="C22" i="7" s="1"/>
  <c r="C25" i="7"/>
  <c r="D12" i="7"/>
  <c r="C21" i="7"/>
  <c r="D31" i="3"/>
  <c r="E14" i="7"/>
  <c r="B168" i="2"/>
  <c r="B170" i="2" s="1"/>
  <c r="B174" i="2" s="1"/>
  <c r="B176" i="2" s="1"/>
  <c r="F9" i="8"/>
  <c r="D10" i="5" l="1"/>
  <c r="E53" i="4"/>
  <c r="D24" i="4"/>
  <c r="D28" i="4" s="1"/>
  <c r="D36" i="4" s="1"/>
  <c r="C13" i="5"/>
  <c r="C29" i="5" s="1"/>
  <c r="F7" i="7"/>
  <c r="F9" i="3"/>
  <c r="F52" i="2"/>
  <c r="E160" i="2"/>
  <c r="E52" i="4"/>
  <c r="E69" i="2"/>
  <c r="E153" i="2"/>
  <c r="D27" i="7"/>
  <c r="D27" i="3" s="1"/>
  <c r="D16" i="7"/>
  <c r="D20" i="7"/>
  <c r="D15" i="7"/>
  <c r="F14" i="7"/>
  <c r="E31" i="3"/>
  <c r="E9" i="7"/>
  <c r="E23" i="3"/>
  <c r="E7" i="3"/>
  <c r="E11" i="3" s="1"/>
  <c r="E14" i="3" s="1"/>
  <c r="E17" i="3" s="1"/>
  <c r="E98" i="2"/>
  <c r="D159" i="2"/>
  <c r="D164" i="2"/>
  <c r="D168" i="2" s="1"/>
  <c r="D170" i="2" s="1"/>
  <c r="D174" i="2" s="1"/>
  <c r="D176" i="2" s="1"/>
  <c r="D6" i="5" s="1"/>
  <c r="D13" i="5" s="1"/>
  <c r="D29" i="5" s="1"/>
  <c r="E18" i="8"/>
  <c r="E27" i="8" s="1"/>
  <c r="E29" i="8" s="1"/>
  <c r="E30" i="8" s="1"/>
  <c r="F95" i="2"/>
  <c r="F152" i="2" s="1"/>
  <c r="F96" i="2"/>
  <c r="B177" i="2"/>
  <c r="B6" i="5"/>
  <c r="B13" i="5" s="1"/>
  <c r="B29" i="5" s="1"/>
  <c r="B31" i="5" s="1"/>
  <c r="G13" i="8"/>
  <c r="G14" i="8"/>
  <c r="H11" i="8" s="1"/>
  <c r="G6" i="8"/>
  <c r="F30" i="3"/>
  <c r="G28" i="8"/>
  <c r="G5" i="3"/>
  <c r="H25" i="2"/>
  <c r="G27" i="2"/>
  <c r="G33" i="2" s="1"/>
  <c r="G88" i="2"/>
  <c r="H13" i="8" l="1"/>
  <c r="H14" i="8"/>
  <c r="I11" i="8" s="1"/>
  <c r="D25" i="7"/>
  <c r="D17" i="7"/>
  <c r="D22" i="7" s="1"/>
  <c r="D21" i="7"/>
  <c r="E12" i="7"/>
  <c r="C30" i="5"/>
  <c r="C31" i="5" s="1"/>
  <c r="B32" i="5"/>
  <c r="B6" i="4"/>
  <c r="B10" i="4" s="1"/>
  <c r="B19" i="4" s="1"/>
  <c r="B48" i="4" s="1"/>
  <c r="F52" i="4"/>
  <c r="F69" i="2"/>
  <c r="E12" i="3"/>
  <c r="E15" i="3" s="1"/>
  <c r="E18" i="3" s="1"/>
  <c r="G95" i="2"/>
  <c r="G152" i="2" s="1"/>
  <c r="G96" i="2"/>
  <c r="G9" i="3"/>
  <c r="G7" i="7"/>
  <c r="G52" i="2"/>
  <c r="H28" i="8"/>
  <c r="H5" i="3"/>
  <c r="I25" i="2"/>
  <c r="H27" i="2"/>
  <c r="H33" i="2" s="1"/>
  <c r="H88" i="2"/>
  <c r="I6" i="3"/>
  <c r="F23" i="3"/>
  <c r="F98" i="2"/>
  <c r="F7" i="3"/>
  <c r="F11" i="3" s="1"/>
  <c r="F14" i="3" s="1"/>
  <c r="F17" i="3" s="1"/>
  <c r="E164" i="2"/>
  <c r="E159" i="2"/>
  <c r="E54" i="4"/>
  <c r="C177" i="2"/>
  <c r="B41" i="4"/>
  <c r="B43" i="4" s="1"/>
  <c r="B45" i="4" s="1"/>
  <c r="G14" i="7"/>
  <c r="F31" i="3"/>
  <c r="F9" i="7"/>
  <c r="E19" i="8"/>
  <c r="G8" i="8"/>
  <c r="D26" i="7"/>
  <c r="D28" i="7"/>
  <c r="D30" i="5" l="1"/>
  <c r="D31" i="5" s="1"/>
  <c r="C6" i="4"/>
  <c r="C10" i="4" s="1"/>
  <c r="C19" i="4" s="1"/>
  <c r="C32" i="5"/>
  <c r="G69" i="2"/>
  <c r="G52" i="4"/>
  <c r="H14" i="7"/>
  <c r="G31" i="3"/>
  <c r="G9" i="7"/>
  <c r="G98" i="2"/>
  <c r="G23" i="3"/>
  <c r="G7" i="3"/>
  <c r="E15" i="7"/>
  <c r="E16" i="7" s="1"/>
  <c r="E20" i="7"/>
  <c r="F12" i="3"/>
  <c r="F15" i="3" s="1"/>
  <c r="F18" i="3" s="1"/>
  <c r="D177" i="2"/>
  <c r="C41" i="4"/>
  <c r="C43" i="4" s="1"/>
  <c r="C45" i="4" s="1"/>
  <c r="F164" i="2"/>
  <c r="F159" i="2"/>
  <c r="H9" i="3"/>
  <c r="H7" i="7"/>
  <c r="H52" i="2"/>
  <c r="F16" i="8"/>
  <c r="E32" i="3"/>
  <c r="E24" i="3"/>
  <c r="E25" i="3" s="1"/>
  <c r="E10" i="5"/>
  <c r="F53" i="4"/>
  <c r="F54" i="4" s="1"/>
  <c r="E24" i="4"/>
  <c r="E28" i="4" s="1"/>
  <c r="E36" i="4" s="1"/>
  <c r="I27" i="2"/>
  <c r="I33" i="2" s="1"/>
  <c r="I5" i="3"/>
  <c r="I28" i="8"/>
  <c r="I88" i="2"/>
  <c r="J25" i="2"/>
  <c r="I13" i="8"/>
  <c r="I14" i="8"/>
  <c r="J11" i="8" s="1"/>
  <c r="H95" i="2"/>
  <c r="H152" i="2" s="1"/>
  <c r="H96" i="2"/>
  <c r="G9" i="8"/>
  <c r="E168" i="2"/>
  <c r="E170" i="2" s="1"/>
  <c r="E174" i="2" s="1"/>
  <c r="E176" i="2" s="1"/>
  <c r="E6" i="5" s="1"/>
  <c r="E13" i="5" s="1"/>
  <c r="E29" i="5" s="1"/>
  <c r="E165" i="2"/>
  <c r="E25" i="7" l="1"/>
  <c r="E17" i="7"/>
  <c r="E22" i="7" s="1"/>
  <c r="E21" i="7"/>
  <c r="F12" i="7"/>
  <c r="I9" i="3"/>
  <c r="I7" i="7"/>
  <c r="I52" i="2"/>
  <c r="H6" i="8"/>
  <c r="G30" i="3"/>
  <c r="G13" i="3"/>
  <c r="G16" i="3" s="1"/>
  <c r="G19" i="3" s="1"/>
  <c r="G11" i="3"/>
  <c r="G14" i="3" s="1"/>
  <c r="G17" i="3" s="1"/>
  <c r="E26" i="7"/>
  <c r="E28" i="7"/>
  <c r="H12" i="3"/>
  <c r="H15" i="3" s="1"/>
  <c r="H18" i="3" s="1"/>
  <c r="H98" i="2"/>
  <c r="H7" i="3"/>
  <c r="H23" i="3"/>
  <c r="F24" i="4"/>
  <c r="F28" i="4" s="1"/>
  <c r="F36" i="4" s="1"/>
  <c r="F10" i="5"/>
  <c r="G53" i="4"/>
  <c r="G54" i="4" s="1"/>
  <c r="F168" i="2"/>
  <c r="F170" i="2" s="1"/>
  <c r="F174" i="2" s="1"/>
  <c r="F176" i="2" s="1"/>
  <c r="F6" i="5" s="1"/>
  <c r="G164" i="2"/>
  <c r="G168" i="2" s="1"/>
  <c r="G170" i="2" s="1"/>
  <c r="G174" i="2" s="1"/>
  <c r="G176" i="2" s="1"/>
  <c r="G6" i="5" s="1"/>
  <c r="G159" i="2"/>
  <c r="I14" i="7"/>
  <c r="H31" i="3"/>
  <c r="H9" i="7"/>
  <c r="I153" i="2"/>
  <c r="J27" i="2"/>
  <c r="J33" i="2" s="1"/>
  <c r="J28" i="8"/>
  <c r="J5" i="3"/>
  <c r="K25" i="2"/>
  <c r="J88" i="2"/>
  <c r="F18" i="8"/>
  <c r="F27" i="8" s="1"/>
  <c r="F29" i="8" s="1"/>
  <c r="F30" i="8" s="1"/>
  <c r="J13" i="8"/>
  <c r="J14" i="8"/>
  <c r="K11" i="8" s="1"/>
  <c r="G12" i="3"/>
  <c r="G15" i="3" s="1"/>
  <c r="G18" i="3" s="1"/>
  <c r="E177" i="2"/>
  <c r="D41" i="4"/>
  <c r="D43" i="4" s="1"/>
  <c r="D45" i="4" s="1"/>
  <c r="I96" i="2"/>
  <c r="I95" i="2"/>
  <c r="I152" i="2" s="1"/>
  <c r="C48" i="4"/>
  <c r="E31" i="5"/>
  <c r="H52" i="4"/>
  <c r="H69" i="2"/>
  <c r="E27" i="7"/>
  <c r="E27" i="3" s="1"/>
  <c r="D6" i="4"/>
  <c r="D10" i="4" s="1"/>
  <c r="D19" i="4" s="1"/>
  <c r="D48" i="4" s="1"/>
  <c r="E30" i="5"/>
  <c r="D32" i="5"/>
  <c r="J9" i="3" l="1"/>
  <c r="J7" i="7"/>
  <c r="J52" i="2"/>
  <c r="K13" i="8"/>
  <c r="K14" i="8"/>
  <c r="L11" i="8" s="1"/>
  <c r="H8" i="8"/>
  <c r="I52" i="4"/>
  <c r="I69" i="2"/>
  <c r="I53" i="2"/>
  <c r="I70" i="2" s="1"/>
  <c r="I160" i="2" s="1"/>
  <c r="F19" i="8"/>
  <c r="H13" i="3"/>
  <c r="H16" i="3" s="1"/>
  <c r="H19" i="3" s="1"/>
  <c r="H11" i="3"/>
  <c r="H14" i="3" s="1"/>
  <c r="H17" i="3" s="1"/>
  <c r="I31" i="3"/>
  <c r="J14" i="7"/>
  <c r="I9" i="7"/>
  <c r="E6" i="4"/>
  <c r="E10" i="4" s="1"/>
  <c r="E19" i="4" s="1"/>
  <c r="E32" i="5"/>
  <c r="F30" i="5"/>
  <c r="I12" i="3"/>
  <c r="I15" i="3" s="1"/>
  <c r="I18" i="3" s="1"/>
  <c r="F15" i="7"/>
  <c r="F16" i="7"/>
  <c r="F20" i="7"/>
  <c r="K27" i="2"/>
  <c r="K33" i="2" s="1"/>
  <c r="K28" i="8"/>
  <c r="L25" i="2"/>
  <c r="K5" i="3"/>
  <c r="K88" i="2"/>
  <c r="J96" i="2"/>
  <c r="J95" i="2"/>
  <c r="J152" i="2" s="1"/>
  <c r="G13" i="5"/>
  <c r="G29" i="5" s="1"/>
  <c r="H164" i="2"/>
  <c r="H168" i="2" s="1"/>
  <c r="H170" i="2" s="1"/>
  <c r="H174" i="2" s="1"/>
  <c r="H176" i="2" s="1"/>
  <c r="H6" i="5" s="1"/>
  <c r="H159" i="2"/>
  <c r="I98" i="2"/>
  <c r="I23" i="3"/>
  <c r="I7" i="3"/>
  <c r="F13" i="5"/>
  <c r="F29" i="5" s="1"/>
  <c r="F31" i="5" s="1"/>
  <c r="F177" i="2"/>
  <c r="E41" i="4"/>
  <c r="E43" i="4" s="1"/>
  <c r="E45" i="4" s="1"/>
  <c r="G24" i="4"/>
  <c r="G28" i="4" s="1"/>
  <c r="G36" i="4" s="1"/>
  <c r="G10" i="5"/>
  <c r="H53" i="4"/>
  <c r="H54" i="4" s="1"/>
  <c r="E48" i="4" l="1"/>
  <c r="G31" i="5"/>
  <c r="F25" i="7"/>
  <c r="G12" i="7"/>
  <c r="F21" i="7"/>
  <c r="F17" i="7"/>
  <c r="F22" i="7" s="1"/>
  <c r="G177" i="2"/>
  <c r="F41" i="4"/>
  <c r="F43" i="4" s="1"/>
  <c r="F45" i="4" s="1"/>
  <c r="F26" i="7"/>
  <c r="F28" i="7"/>
  <c r="H24" i="4"/>
  <c r="H28" i="4" s="1"/>
  <c r="H36" i="4" s="1"/>
  <c r="I53" i="4"/>
  <c r="I54" i="4" s="1"/>
  <c r="H10" i="5"/>
  <c r="F27" i="7"/>
  <c r="F27" i="3" s="1"/>
  <c r="K7" i="7"/>
  <c r="K9" i="3"/>
  <c r="K52" i="2"/>
  <c r="H13" i="5"/>
  <c r="H29" i="5" s="1"/>
  <c r="H9" i="8"/>
  <c r="L13" i="8"/>
  <c r="L14" i="8"/>
  <c r="M11" i="8" s="1"/>
  <c r="G16" i="8"/>
  <c r="F32" i="3"/>
  <c r="F24" i="3"/>
  <c r="F25" i="3" s="1"/>
  <c r="F6" i="4"/>
  <c r="F10" i="4" s="1"/>
  <c r="F19" i="4" s="1"/>
  <c r="F32" i="5"/>
  <c r="G30" i="5"/>
  <c r="K95" i="2"/>
  <c r="K152" i="2" s="1"/>
  <c r="K96" i="2"/>
  <c r="J52" i="4"/>
  <c r="J69" i="2"/>
  <c r="I159" i="2"/>
  <c r="I164" i="2"/>
  <c r="K14" i="7"/>
  <c r="J31" i="3"/>
  <c r="J9" i="7"/>
  <c r="J98" i="2"/>
  <c r="J23" i="3"/>
  <c r="J7" i="3"/>
  <c r="I11" i="3"/>
  <c r="I14" i="3" s="1"/>
  <c r="I17" i="3" s="1"/>
  <c r="I13" i="3"/>
  <c r="I16" i="3" s="1"/>
  <c r="I19" i="3" s="1"/>
  <c r="M25" i="2"/>
  <c r="L28" i="8"/>
  <c r="L88" i="2"/>
  <c r="L27" i="2"/>
  <c r="L33" i="2" s="1"/>
  <c r="L5" i="3"/>
  <c r="J12" i="3"/>
  <c r="J15" i="3" s="1"/>
  <c r="J18" i="3" s="1"/>
  <c r="I168" i="2" l="1"/>
  <c r="I170" i="2" s="1"/>
  <c r="I174" i="2" s="1"/>
  <c r="I176" i="2" s="1"/>
  <c r="I6" i="5" s="1"/>
  <c r="I165" i="2"/>
  <c r="J13" i="3"/>
  <c r="J16" i="3" s="1"/>
  <c r="J19" i="3" s="1"/>
  <c r="J11" i="3"/>
  <c r="J14" i="3" s="1"/>
  <c r="J17" i="3" s="1"/>
  <c r="G18" i="8"/>
  <c r="G27" i="8" s="1"/>
  <c r="G29" i="8" s="1"/>
  <c r="G30" i="8" s="1"/>
  <c r="M13" i="8"/>
  <c r="M14" i="8" s="1"/>
  <c r="F48" i="4"/>
  <c r="L7" i="7"/>
  <c r="L9" i="3"/>
  <c r="L52" i="2"/>
  <c r="K52" i="4"/>
  <c r="K69" i="2"/>
  <c r="M27" i="2"/>
  <c r="M33" i="2" s="1"/>
  <c r="M28" i="8"/>
  <c r="M5" i="3"/>
  <c r="M88" i="2"/>
  <c r="M6" i="3"/>
  <c r="L14" i="7"/>
  <c r="K31" i="3"/>
  <c r="K9" i="7"/>
  <c r="H177" i="2"/>
  <c r="G41" i="4"/>
  <c r="G43" i="4" s="1"/>
  <c r="G45" i="4" s="1"/>
  <c r="J164" i="2"/>
  <c r="J159" i="2"/>
  <c r="G15" i="7"/>
  <c r="G20" i="7"/>
  <c r="G27" i="7"/>
  <c r="G27" i="3" s="1"/>
  <c r="G16" i="7"/>
  <c r="K98" i="2"/>
  <c r="K23" i="3"/>
  <c r="K7" i="3"/>
  <c r="I6" i="8"/>
  <c r="H30" i="3"/>
  <c r="J53" i="4"/>
  <c r="J54" i="4" s="1"/>
  <c r="I24" i="4"/>
  <c r="I28" i="4" s="1"/>
  <c r="I36" i="4" s="1"/>
  <c r="I10" i="5"/>
  <c r="G6" i="4"/>
  <c r="G10" i="4" s="1"/>
  <c r="G19" i="4" s="1"/>
  <c r="G48" i="4" s="1"/>
  <c r="G32" i="5"/>
  <c r="H30" i="5"/>
  <c r="H31" i="5"/>
  <c r="L95" i="2"/>
  <c r="L152" i="2" s="1"/>
  <c r="L96" i="2"/>
  <c r="I8" i="8" l="1"/>
  <c r="M7" i="7"/>
  <c r="M9" i="3"/>
  <c r="M52" i="2"/>
  <c r="B54" i="2"/>
  <c r="B71" i="2" s="1"/>
  <c r="J168" i="2"/>
  <c r="J170" i="2" s="1"/>
  <c r="J174" i="2" s="1"/>
  <c r="H32" i="5"/>
  <c r="I30" i="5"/>
  <c r="H6" i="4"/>
  <c r="H10" i="4" s="1"/>
  <c r="H19" i="4" s="1"/>
  <c r="K11" i="3"/>
  <c r="K14" i="3" s="1"/>
  <c r="K17" i="3" s="1"/>
  <c r="K13" i="3"/>
  <c r="K16" i="3" s="1"/>
  <c r="K19" i="3" s="1"/>
  <c r="H41" i="4"/>
  <c r="H43" i="4" s="1"/>
  <c r="H45" i="4" s="1"/>
  <c r="I177" i="2"/>
  <c r="K159" i="2"/>
  <c r="K164" i="2"/>
  <c r="K168" i="2" s="1"/>
  <c r="K170" i="2" s="1"/>
  <c r="K174" i="2" s="1"/>
  <c r="G19" i="8"/>
  <c r="L52" i="4"/>
  <c r="L69" i="2"/>
  <c r="H12" i="7"/>
  <c r="G21" i="7"/>
  <c r="G25" i="7"/>
  <c r="G17" i="7"/>
  <c r="G22" i="7" s="1"/>
  <c r="L31" i="3"/>
  <c r="M14" i="7"/>
  <c r="L9" i="7"/>
  <c r="I13" i="5"/>
  <c r="I29" i="5" s="1"/>
  <c r="I31" i="5" s="1"/>
  <c r="L12" i="3"/>
  <c r="L15" i="3" s="1"/>
  <c r="L18" i="3" s="1"/>
  <c r="K53" i="4"/>
  <c r="K54" i="4" s="1"/>
  <c r="J24" i="4"/>
  <c r="J28" i="4" s="1"/>
  <c r="J36" i="4" s="1"/>
  <c r="J10" i="5"/>
  <c r="M96" i="2"/>
  <c r="M95" i="2"/>
  <c r="M152" i="2" s="1"/>
  <c r="B154" i="2" s="1"/>
  <c r="L98" i="2"/>
  <c r="L7" i="3"/>
  <c r="L23" i="3"/>
  <c r="G26" i="7"/>
  <c r="G28" i="7"/>
  <c r="K12" i="3"/>
  <c r="K15" i="3" s="1"/>
  <c r="K18" i="3" s="1"/>
  <c r="J175" i="2" l="1"/>
  <c r="J176" i="2" s="1"/>
  <c r="H16" i="8"/>
  <c r="G32" i="3"/>
  <c r="G24" i="3"/>
  <c r="G25" i="3" s="1"/>
  <c r="K175" i="2"/>
  <c r="K176" i="2"/>
  <c r="K6" i="5" s="1"/>
  <c r="K13" i="5" s="1"/>
  <c r="K29" i="5" s="1"/>
  <c r="B161" i="2"/>
  <c r="I41" i="4"/>
  <c r="I43" i="4" s="1"/>
  <c r="I45" i="4" s="1"/>
  <c r="M52" i="4"/>
  <c r="M69" i="2"/>
  <c r="M53" i="2"/>
  <c r="M70" i="2" s="1"/>
  <c r="M160" i="2" s="1"/>
  <c r="M98" i="2"/>
  <c r="M7" i="3"/>
  <c r="M12" i="3" s="1"/>
  <c r="M15" i="3" s="1"/>
  <c r="M18" i="3" s="1"/>
  <c r="M23" i="3"/>
  <c r="K10" i="5"/>
  <c r="L53" i="4"/>
  <c r="L54" i="4" s="1"/>
  <c r="K24" i="4"/>
  <c r="K28" i="4" s="1"/>
  <c r="K36" i="4" s="1"/>
  <c r="M31" i="3"/>
  <c r="M9" i="7"/>
  <c r="H15" i="7"/>
  <c r="H27" i="7"/>
  <c r="H27" i="3" s="1"/>
  <c r="H16" i="7"/>
  <c r="H20" i="7"/>
  <c r="H48" i="4"/>
  <c r="I9" i="8"/>
  <c r="L159" i="2"/>
  <c r="L164" i="2"/>
  <c r="L168" i="2" s="1"/>
  <c r="L170" i="2" s="1"/>
  <c r="L174" i="2" s="1"/>
  <c r="I32" i="5"/>
  <c r="I6" i="4"/>
  <c r="I10" i="4" s="1"/>
  <c r="I19" i="4" s="1"/>
  <c r="I48" i="4" s="1"/>
  <c r="J30" i="5"/>
  <c r="L11" i="3"/>
  <c r="L14" i="3" s="1"/>
  <c r="L17" i="3" s="1"/>
  <c r="L13" i="3"/>
  <c r="L16" i="3" s="1"/>
  <c r="L19" i="3" s="1"/>
  <c r="M153" i="2"/>
  <c r="J6" i="5" l="1"/>
  <c r="J13" i="5" s="1"/>
  <c r="J29" i="5" s="1"/>
  <c r="J31" i="5" s="1"/>
  <c r="J177" i="2"/>
  <c r="H26" i="7"/>
  <c r="H28" i="7"/>
  <c r="L175" i="2"/>
  <c r="L176" i="2" s="1"/>
  <c r="L6" i="5" s="1"/>
  <c r="L13" i="5" s="1"/>
  <c r="L29" i="5" s="1"/>
  <c r="M159" i="2"/>
  <c r="M164" i="2"/>
  <c r="H18" i="8"/>
  <c r="H27" i="8" s="1"/>
  <c r="H29" i="8" s="1"/>
  <c r="H30" i="8" s="1"/>
  <c r="J6" i="8"/>
  <c r="I30" i="3"/>
  <c r="L10" i="5"/>
  <c r="M53" i="4"/>
  <c r="M54" i="4" s="1"/>
  <c r="L24" i="4"/>
  <c r="L28" i="4" s="1"/>
  <c r="L36" i="4" s="1"/>
  <c r="I12" i="7"/>
  <c r="H21" i="7"/>
  <c r="H25" i="7"/>
  <c r="H17" i="7"/>
  <c r="H22" i="7" s="1"/>
  <c r="M11" i="3"/>
  <c r="M14" i="3" s="1"/>
  <c r="M17" i="3" s="1"/>
  <c r="M13" i="3"/>
  <c r="M16" i="3" s="1"/>
  <c r="M19" i="3" s="1"/>
  <c r="I20" i="7" l="1"/>
  <c r="I15" i="7"/>
  <c r="I27" i="7"/>
  <c r="I27" i="3" s="1"/>
  <c r="I16" i="7"/>
  <c r="M10" i="5"/>
  <c r="M24" i="4"/>
  <c r="M28" i="4" s="1"/>
  <c r="M36" i="4" s="1"/>
  <c r="J8" i="8"/>
  <c r="J9" i="8"/>
  <c r="J41" i="4"/>
  <c r="J43" i="4" s="1"/>
  <c r="J45" i="4" s="1"/>
  <c r="K177" i="2"/>
  <c r="M168" i="2"/>
  <c r="M170" i="2" s="1"/>
  <c r="M174" i="2" s="1"/>
  <c r="M165" i="2"/>
  <c r="H19" i="8"/>
  <c r="J32" i="5"/>
  <c r="K30" i="5"/>
  <c r="K31" i="5" s="1"/>
  <c r="J6" i="4"/>
  <c r="J10" i="4" s="1"/>
  <c r="J19" i="4" s="1"/>
  <c r="J48" i="4" s="1"/>
  <c r="K6" i="8" l="1"/>
  <c r="J30" i="3"/>
  <c r="I26" i="7"/>
  <c r="I28" i="7"/>
  <c r="I21" i="7"/>
  <c r="J12" i="7"/>
  <c r="I25" i="7"/>
  <c r="I17" i="7"/>
  <c r="I22" i="7" s="1"/>
  <c r="M175" i="2"/>
  <c r="M176" i="2" s="1"/>
  <c r="M6" i="5" s="1"/>
  <c r="M13" i="5" s="1"/>
  <c r="M29" i="5" s="1"/>
  <c r="L30" i="5"/>
  <c r="L31" i="5" s="1"/>
  <c r="K32" i="5"/>
  <c r="K6" i="4"/>
  <c r="K10" i="4" s="1"/>
  <c r="K19" i="4" s="1"/>
  <c r="I16" i="8"/>
  <c r="H32" i="3"/>
  <c r="H24" i="3"/>
  <c r="H25" i="3" s="1"/>
  <c r="K41" i="4"/>
  <c r="K43" i="4" s="1"/>
  <c r="K45" i="4" s="1"/>
  <c r="L177" i="2"/>
  <c r="I18" i="8" l="1"/>
  <c r="I27" i="8" s="1"/>
  <c r="I29" i="8" s="1"/>
  <c r="I30" i="8" s="1"/>
  <c r="J20" i="7"/>
  <c r="J15" i="7"/>
  <c r="J27" i="7"/>
  <c r="J27" i="3" s="1"/>
  <c r="J16" i="7"/>
  <c r="M30" i="5"/>
  <c r="M31" i="5" s="1"/>
  <c r="L32" i="5"/>
  <c r="L6" i="4"/>
  <c r="L10" i="4" s="1"/>
  <c r="L19" i="4" s="1"/>
  <c r="L48" i="4" s="1"/>
  <c r="K48" i="4"/>
  <c r="L41" i="4"/>
  <c r="L43" i="4" s="1"/>
  <c r="L45" i="4" s="1"/>
  <c r="M177" i="2"/>
  <c r="M41" i="4" s="1"/>
  <c r="M43" i="4" s="1"/>
  <c r="M45" i="4" s="1"/>
  <c r="K8" i="8"/>
  <c r="K9" i="8"/>
  <c r="M32" i="5" l="1"/>
  <c r="M6" i="4"/>
  <c r="M10" i="4" s="1"/>
  <c r="M19" i="4" s="1"/>
  <c r="M48" i="4" s="1"/>
  <c r="L6" i="8"/>
  <c r="K30" i="3"/>
  <c r="J21" i="7"/>
  <c r="K12" i="7"/>
  <c r="J25" i="7"/>
  <c r="J17" i="7"/>
  <c r="J22" i="7" s="1"/>
  <c r="J26" i="7"/>
  <c r="J28" i="7"/>
  <c r="I19" i="8"/>
  <c r="K20" i="7" l="1"/>
  <c r="K15" i="7"/>
  <c r="K27" i="7"/>
  <c r="K27" i="3" s="1"/>
  <c r="K16" i="7"/>
  <c r="J16" i="8"/>
  <c r="I32" i="3"/>
  <c r="I24" i="3"/>
  <c r="I25" i="3" s="1"/>
  <c r="L8" i="8"/>
  <c r="L9" i="8"/>
  <c r="M6" i="8" l="1"/>
  <c r="L30" i="3"/>
  <c r="K17" i="7"/>
  <c r="K22" i="7" s="1"/>
  <c r="K21" i="7"/>
  <c r="L12" i="7"/>
  <c r="K25" i="7"/>
  <c r="J19" i="8"/>
  <c r="J18" i="8"/>
  <c r="J27" i="8" s="1"/>
  <c r="J29" i="8" s="1"/>
  <c r="J30" i="8" s="1"/>
  <c r="K26" i="7"/>
  <c r="K28" i="7"/>
  <c r="K16" i="8" l="1"/>
  <c r="J32" i="3"/>
  <c r="J24" i="3"/>
  <c r="J25" i="3" s="1"/>
  <c r="L20" i="7"/>
  <c r="L15" i="7"/>
  <c r="M8" i="8"/>
  <c r="M9" i="8"/>
  <c r="M30" i="3" l="1"/>
  <c r="L26" i="7"/>
  <c r="L28" i="7"/>
  <c r="L16" i="7"/>
  <c r="L27" i="7"/>
  <c r="L27" i="3" s="1"/>
  <c r="K18" i="8"/>
  <c r="K27" i="8" s="1"/>
  <c r="K29" i="8" s="1"/>
  <c r="K30" i="8" s="1"/>
  <c r="K19" i="8" l="1"/>
  <c r="L17" i="7"/>
  <c r="L22" i="7" s="1"/>
  <c r="L21" i="7"/>
  <c r="M12" i="7"/>
  <c r="L25" i="7"/>
  <c r="M20" i="7" l="1"/>
  <c r="M15" i="7"/>
  <c r="L16" i="8"/>
  <c r="K32" i="3"/>
  <c r="K24" i="3"/>
  <c r="K25" i="3" s="1"/>
  <c r="L18" i="8" l="1"/>
  <c r="L27" i="8" s="1"/>
  <c r="L29" i="8" s="1"/>
  <c r="L30" i="8" s="1"/>
  <c r="L19" i="8"/>
  <c r="M26" i="7"/>
  <c r="M28" i="7"/>
  <c r="M16" i="7"/>
  <c r="M27" i="7"/>
  <c r="M27" i="3" s="1"/>
  <c r="M17" i="7" l="1"/>
  <c r="M22" i="7" s="1"/>
  <c r="M25" i="7"/>
  <c r="M21" i="7"/>
  <c r="M16" i="8"/>
  <c r="L32" i="3"/>
  <c r="L24" i="3"/>
  <c r="L25" i="3" s="1"/>
  <c r="M18" i="8" l="1"/>
  <c r="M27" i="8" s="1"/>
  <c r="M29" i="8" s="1"/>
  <c r="M30" i="8" s="1"/>
  <c r="M19" i="8"/>
  <c r="M32" i="3" l="1"/>
  <c r="M24" i="3"/>
  <c r="M2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FP&amp;A Bot</author>
  </authors>
  <commentList>
    <comment ref="B22" authorId="0" shapeId="0" xr:uid="{00000000-0006-0000-0400-000001000000}">
      <text>
        <r>
          <rPr>
            <sz val="12"/>
            <color theme="1"/>
            <rFont val="Aptos Narrow"/>
            <family val="2"/>
            <charset val="1"/>
          </rPr>
          <t>Pre-seed raise — update with actual amount. Source: Key Assumptions!C25.</t>
        </r>
      </text>
    </comment>
  </commentList>
</comments>
</file>

<file path=xl/sharedStrings.xml><?xml version="1.0" encoding="utf-8"?>
<sst xmlns="http://schemas.openxmlformats.org/spreadsheetml/2006/main" count="563" uniqueCount="438">
  <si>
    <t>IEPPAL — UNIT ECONOMICS</t>
  </si>
  <si>
    <t>YEAR 1</t>
  </si>
  <si>
    <t>YEAR 2</t>
  </si>
  <si>
    <t>YEAR 3</t>
  </si>
  <si>
    <t>Q1</t>
  </si>
  <si>
    <t>Q2</t>
  </si>
  <si>
    <t>Q3</t>
  </si>
  <si>
    <t>Q4</t>
  </si>
  <si>
    <t>CAC per Quarter</t>
  </si>
  <si>
    <t>CAC Annually</t>
  </si>
  <si>
    <t>Variable COGS per Student (AWS+AI Tool, all tiers blended)</t>
  </si>
  <si>
    <t>Basic Tier: Revenue per Student</t>
  </si>
  <si>
    <t>Schools Tier: Revenue per Student</t>
  </si>
  <si>
    <t>Custom Tier: Revenue per Student</t>
  </si>
  <si>
    <t>Variable Margin per Student — Basic  (Rev - VarCOGS)</t>
  </si>
  <si>
    <t>Variable Margin per Student — Schools</t>
  </si>
  <si>
    <t>Variable Margin per Student — Custom</t>
  </si>
  <si>
    <t>LTV — Basic  (VarMargin ÷ Quarterly Churn Rate)</t>
  </si>
  <si>
    <t>LTV — Schools</t>
  </si>
  <si>
    <t>LTV — Custom</t>
  </si>
  <si>
    <t>LTV:CAC — Basic</t>
  </si>
  <si>
    <t>LTV:CAC — Schools</t>
  </si>
  <si>
    <t>LTV:CAC — Custom</t>
  </si>
  <si>
    <t>CAC per Account (S&amp;M ÷ New School Accounts Won)</t>
  </si>
  <si>
    <t>Gross Margin % (variable COGS only)</t>
  </si>
  <si>
    <t>ARPA per month (Qtrly Revenue ÷ Total Accts ÷ 3)</t>
  </si>
  <si>
    <t>CAC Payback Period — months (CAC per Account ÷ Monthly Gross Profit per Account)</t>
  </si>
  <si>
    <t>Net Revenue Retention — NRR</t>
  </si>
  <si>
    <t>Quarterly Gross Churn Rate (assumption)</t>
  </si>
  <si>
    <t>ACV per School — Basic (Quarterly ARR ÷ Active Accounts)</t>
  </si>
  <si>
    <t>ACV per School — Schools</t>
  </si>
  <si>
    <t>ACV per School — Custom</t>
  </si>
  <si>
    <t>[1] LTV = Variable Margin per Student ÷ Quarterly Churn Rate. Fixed COGS (SE salary, security, GDPR) are period costs captured in the P&amp;L, not allocated at unit level.</t>
  </si>
  <si>
    <t>[2] LTV:CAC is front-loaded: CAC is incurred upfront while LTV accrues over the customer lifetime. Low ratios in early quarters are expected in a B2B EdTech investment phase. Target &gt;3x by Y2Q3.</t>
  </si>
  <si>
    <t>[3] Custom tier rows show "-" in periods with zero Custom students. Blended COGS applied against no revenue produces a meaningless negative margin; omitted to avoid misleading reads.</t>
  </si>
  <si>
    <t>[4] CAC Payback Period uses CAC per Account (row 20), not per student. This aligns the denominator (ARPA per school × GM%) to the same unit. Benchmark: 12–18 months EdTech B2B | &lt;12 = best-in-class | &gt;24 = review CAC efficiency.</t>
  </si>
  <si>
    <t>[5] NRR from ARR Waterfall. Target &gt;100% from Y2 onward — indicates expansion revenue from existing schools exceeds gross churn losses, a strong product-market fit signal.</t>
  </si>
  <si>
    <t>[6] ACV (Annual Contract Value) = Quarterly ARR by tier ÷ Active accounts for that tier. Reflects current-quarter run-rate annualised; fluctuates as student counts change within contracts.</t>
  </si>
  <si>
    <t>IEPPAL — KEY MODEL ASSUMPTIONS</t>
  </si>
  <si>
    <t>All assumptions drawn from the individual scenario sheets.</t>
  </si>
  <si>
    <t>Category</t>
  </si>
  <si>
    <t>Assumption</t>
  </si>
  <si>
    <t>Value / Formula</t>
  </si>
  <si>
    <t>Unit</t>
  </si>
  <si>
    <t>Source / Rationale</t>
  </si>
  <si>
    <t>Pricing</t>
  </si>
  <si>
    <t>Basic Package — Annual Base Fee</t>
  </si>
  <si>
    <t>S$3,000</t>
  </si>
  <si>
    <t>Benchmark vs EdTech SaaS comps</t>
  </si>
  <si>
    <t>Basic IEP Access Fee / Student</t>
  </si>
  <si>
    <t>S$12</t>
  </si>
  <si>
    <t>Basic AI Tool Fee / Student</t>
  </si>
  <si>
    <t>S$15</t>
  </si>
  <si>
    <t>Founder assumption; applied to 50% of IEP students to incentivize Schools Package</t>
  </si>
  <si>
    <t>Schools Package — Annual Base Fee</t>
  </si>
  <si>
    <t>S$5,000</t>
  </si>
  <si>
    <t>Schools IEP Access Fee / Student</t>
  </si>
  <si>
    <t>Schools AI Tool Fee / Student</t>
  </si>
  <si>
    <t>Founder assumption; Falling cost for higher SaaS tier</t>
  </si>
  <si>
    <t>Custom Package — Annual Base Fee</t>
  </si>
  <si>
    <t>S$20,000</t>
  </si>
  <si>
    <t>White-label, Enterprise; Inclusion of Custom Development &amp; Early Access</t>
  </si>
  <si>
    <t>Custom IEP Access Fee / Student</t>
  </si>
  <si>
    <t>Custom AI Tool Fee / Student</t>
  </si>
  <si>
    <t xml:space="preserve">S$10 </t>
  </si>
  <si>
    <t>Growth</t>
  </si>
  <si>
    <t>Custom Package — first client onboarded</t>
  </si>
  <si>
    <t>Y2 Q2</t>
  </si>
  <si>
    <t>Conservative; dependent on enterprise sales cycle</t>
  </si>
  <si>
    <t>Churn</t>
  </si>
  <si>
    <t>Quarterly gross churn rate (base case)</t>
  </si>
  <si>
    <t>Conservative; EdTech avg ≈ 3–8% / quarter</t>
  </si>
  <si>
    <t>Net Expansion Rate (base case)</t>
  </si>
  <si>
    <t>Schools add more students over contract life</t>
  </si>
  <si>
    <t>Cost</t>
  </si>
  <si>
    <t>Software Engineer salary (India)</t>
  </si>
  <si>
    <t>S$3,400</t>
  </si>
  <si>
    <t>Market rate India senior SWE, Jun 2026</t>
  </si>
  <si>
    <t>Marketing Manager salary (India)</t>
  </si>
  <si>
    <t>S$4,750</t>
  </si>
  <si>
    <t>Market rate India, Jun 2026</t>
  </si>
  <si>
    <t>Sales &amp; Partnership salary</t>
  </si>
  <si>
    <t>S$8,000</t>
  </si>
  <si>
    <t>Market rate Singapore, Jun 2026</t>
  </si>
  <si>
    <t>Annual Pen-test + Security upkeep</t>
  </si>
  <si>
    <t>S$10,000</t>
  </si>
  <si>
    <t>SG security firm quote; = S$2,500/quarter</t>
  </si>
  <si>
    <t>GDPR compliance (Y1 / Y2+)</t>
  </si>
  <si>
    <t>S$20,000 / S$10,000</t>
  </si>
  <si>
    <t>External GDPR consultant; decreases after initial setup</t>
  </si>
  <si>
    <t>AWS Cloud (Q1 actual — 4 test users)</t>
  </si>
  <si>
    <t>S$37.44</t>
  </si>
  <si>
    <t>Actual AWS billing for RASA prototype; optimised post-go-live</t>
  </si>
  <si>
    <t>Funding</t>
  </si>
  <si>
    <t>Pre-seed raise (assumed for runway model)</t>
  </si>
  <si>
    <t>Covers Y1+Y2 total costs (S$165,537) + 12% buffer. Re-run after churn correction.</t>
  </si>
  <si>
    <t>⚠ PLACEHOLDER — update with actual raise amount before investor meetings</t>
  </si>
  <si>
    <t>Target close date</t>
  </si>
  <si>
    <t>Y1 Q1</t>
  </si>
  <si>
    <t>Update with actual close date before investor meetings</t>
  </si>
  <si>
    <t>⚠ PLACEHOLDER — update with actual timeline</t>
  </si>
  <si>
    <t>Raise currency</t>
  </si>
  <si>
    <t>SGD</t>
  </si>
  <si>
    <t>AI Cost</t>
  </si>
  <si>
    <t>Avg IEP queries per student per day</t>
  </si>
  <si>
    <t>Covers queries to AI generate IEPs, Goals, Surveys, &amp; perform data analytics + strategy recommendations</t>
  </si>
  <si>
    <t>Avg tokens per query (input + output)</t>
  </si>
  <si>
    <t>Full IEP context window; conservative estimate</t>
  </si>
  <si>
    <t>API cost per million tokens (SGD)</t>
  </si>
  <si>
    <t>GPT-4o-mini at $0.25/M × 1.35 USD/SGD; update to actual model used</t>
  </si>
  <si>
    <t>Queries per 3 months</t>
  </si>
  <si>
    <t>Fixed</t>
  </si>
  <si>
    <t>Seasonality</t>
  </si>
  <si>
    <t>Q1 (Jan-Mar) weight</t>
  </si>
  <si>
    <t>Second semester</t>
  </si>
  <si>
    <t>Q2 (Apr-Jun) weight</t>
  </si>
  <si>
    <t>Proposal submissions for following school year</t>
  </si>
  <si>
    <t>Q3 (Jul-Sep) weight</t>
  </si>
  <si>
    <t>Q4 (Oct-Dec) weight</t>
  </si>
  <si>
    <t>First semester</t>
  </si>
  <si>
    <t>Application note</t>
  </si>
  <si>
    <t>Applies to new account wins only — not churn or expansion ARR</t>
  </si>
  <si>
    <t>FINANCIAL FORECAST (3 YEARS)</t>
  </si>
  <si>
    <t>Assumptions</t>
  </si>
  <si>
    <t>REVENUE FORECAST</t>
  </si>
  <si>
    <t>OPERATING REVENUES (Primary Business Income)</t>
  </si>
  <si>
    <t>Basic Package Subscription (Standard Fees)</t>
  </si>
  <si>
    <t>Annual Base Fee ($3000 Annually)</t>
  </si>
  <si>
    <t>IEP Access Fee Per Student</t>
  </si>
  <si>
    <t>IEP &amp; AI cost per student stay constant</t>
  </si>
  <si>
    <t xml:space="preserve">Number of Students </t>
  </si>
  <si>
    <t>AI Tool Pricing Per Student</t>
  </si>
  <si>
    <t>Number of Students (50% of IEP students)</t>
  </si>
  <si>
    <t>Total IEP Fees</t>
  </si>
  <si>
    <t>Additional Add-ons: Data Migration, Strategy Library, PD Offerings</t>
  </si>
  <si>
    <t>Strategy Library Subscription Fee (Monthly Recurring)</t>
  </si>
  <si>
    <t>Number of Educators</t>
  </si>
  <si>
    <t>PD Offerings Subscription Fee (Monthly Recurring)</t>
  </si>
  <si>
    <t>Enrollment for PD courses is an estimate</t>
  </si>
  <si>
    <t>Total Add On Fees</t>
  </si>
  <si>
    <t>Basic Package Total Revenue</t>
  </si>
  <si>
    <t>School Package Subscription (Volume &amp;/or Long Term Contract Fee Discount)</t>
  </si>
  <si>
    <t>Annual Base Fee ($5000 Annually)</t>
  </si>
  <si>
    <t xml:space="preserve">IEP Access Fee Per Student </t>
  </si>
  <si>
    <t xml:space="preserve">AI Tool Pricing Per Student </t>
  </si>
  <si>
    <t>Strategy Library Subscription Fee (Incl. In Software Access)</t>
  </si>
  <si>
    <t>School Package Total Revenue</t>
  </si>
  <si>
    <t>Custom Package (Bespoke Fee / Long Term Contract Fee Discount)</t>
  </si>
  <si>
    <t>Annual Base Fee ($20000 Annually)</t>
  </si>
  <si>
    <t xml:space="preserve">Cost calculated through salary of software devs, in India. </t>
  </si>
  <si>
    <t>Number of Students</t>
  </si>
  <si>
    <t>Data Migration Fee (Incl. In Software Access)</t>
  </si>
  <si>
    <t>Custom Feature Development (Non-Recurring)</t>
  </si>
  <si>
    <t>Custom Feature Maintenance (Monthly Recurring)</t>
  </si>
  <si>
    <t>White-Label Licensing (Monthly Recurring)</t>
  </si>
  <si>
    <t>Total Add-on Fees</t>
  </si>
  <si>
    <t>Custom Package Total Revenue</t>
  </si>
  <si>
    <t>Total Operating Revenues (Quarterly)</t>
  </si>
  <si>
    <t>Total Operating Revenues (Annually)</t>
  </si>
  <si>
    <t>Total Operating Revenues (Y1-Y3)</t>
  </si>
  <si>
    <t>NON OPERATING REVENUES (Secondary Business Income)</t>
  </si>
  <si>
    <t>Interest Income</t>
  </si>
  <si>
    <t>Dividend Income</t>
  </si>
  <si>
    <t>Rental Income</t>
  </si>
  <si>
    <t>Gain On Asset Sales</t>
  </si>
  <si>
    <t xml:space="preserve">Other Non Operating Income </t>
  </si>
  <si>
    <t>Government Grants &amp; Subsidies</t>
  </si>
  <si>
    <t>⚠ Non-guaranteed. Conservative scenario: StartupSG only (S$50K). Best case: all four grants = S$95K. Update after applications submitted.</t>
  </si>
  <si>
    <t>Research &amp; Development Credits/Rebates</t>
  </si>
  <si>
    <t>SG 250% tax deduction on qualifying R&amp;D (S14C/D Income Tax Act). Realised when profitable. Consult tax advisor.</t>
  </si>
  <si>
    <t>Total Non-Operating Revenues (Quarterly)</t>
  </si>
  <si>
    <t>Total Non-Operating Revenues (Annually)</t>
  </si>
  <si>
    <t>Total Non-Operating Revenues (Y1-Y3)</t>
  </si>
  <si>
    <t>Total Revenues (Quarterly)</t>
  </si>
  <si>
    <t>Total Revenues (Annually)</t>
  </si>
  <si>
    <t>Total Revenues (Y1-Y3)</t>
  </si>
  <si>
    <t>COST FORECAST</t>
  </si>
  <si>
    <t>COST OF GOODS SOLD COGS (Costs Related To Developing IEPPAL Software)</t>
  </si>
  <si>
    <t>Salaries &amp; Wages (Software Engineer ea ≈ 3,400sgd)</t>
  </si>
  <si>
    <t>Cloud Infrastructure (AWS)</t>
  </si>
  <si>
    <t>Elastic Compute Cloud (EC-2)</t>
  </si>
  <si>
    <t>Projected from Q1 actuals; scales with total enrolled students across all tiers.</t>
  </si>
  <si>
    <t>Elastic Compute Cloud (EC2-Other)</t>
  </si>
  <si>
    <t>Virtual Private Cloud (VPC)</t>
  </si>
  <si>
    <t>Route 53</t>
  </si>
  <si>
    <t>S3 Storage</t>
  </si>
  <si>
    <t>Data Transfer</t>
  </si>
  <si>
    <t>CloudFront</t>
  </si>
  <si>
    <t>Total Cloud Infrastructure (AWS)</t>
  </si>
  <si>
    <t>Other</t>
  </si>
  <si>
    <t xml:space="preserve">Custom Feature Development </t>
  </si>
  <si>
    <t>Cost factored into SE Salary</t>
  </si>
  <si>
    <t>White-Label Deployment</t>
  </si>
  <si>
    <t>AI-Tool Usage</t>
  </si>
  <si>
    <t>AI COGS = total_students × 12 queries/day × 4,000 tokens ÷ 1M × S$0.37/M × 3 mo. Sensitivity: GPT-4o = 15× higher; open-source (Llama/Mistral) = 80-90% lower.</t>
  </si>
  <si>
    <t>Patent Filing Fees</t>
  </si>
  <si>
    <t>System Security</t>
  </si>
  <si>
    <t>PEN Testing (Certificate + Continual System Checks)</t>
  </si>
  <si>
    <t>GDPR Documentation</t>
  </si>
  <si>
    <t>GDPR Staff Training</t>
  </si>
  <si>
    <t>GDPR Ongoing Annual Cost</t>
  </si>
  <si>
    <t>Total Cost of Goods Sold (Sum of All Total COGS)</t>
  </si>
  <si>
    <t>Variable COGS (AWS + AI Tool Usage only)</t>
  </si>
  <si>
    <t>Fixed COGS (SE Salary + Patent Filing)</t>
  </si>
  <si>
    <t>Variable COGS % of Total Revenue</t>
  </si>
  <si>
    <t>Salaries &amp; Wages (Marketing Team)</t>
  </si>
  <si>
    <t xml:space="preserve">S$4750 for full-time role, hired in India. </t>
  </si>
  <si>
    <t>Salaries &amp; Wages (Sales &amp; Partnership)</t>
  </si>
  <si>
    <t xml:space="preserve">S$8000 for full-time role, hired in SG. </t>
  </si>
  <si>
    <t>Paid Advertising &amp; Promotions</t>
  </si>
  <si>
    <t xml:space="preserve">For paid social media AD campagins, actual figures will be reassessed based on CAC, etc. </t>
  </si>
  <si>
    <t>Sales Commissions</t>
  </si>
  <si>
    <t>Website &amp; E-Commerce Costs</t>
  </si>
  <si>
    <t>Marketing/Outreach for Sales</t>
  </si>
  <si>
    <t>Cost scales as Australia pipeline builds</t>
  </si>
  <si>
    <t>Customer Service &amp; Support</t>
  </si>
  <si>
    <t>Total Selling &amp; Marketing Expenses</t>
  </si>
  <si>
    <t>— Compliance &amp; Security (Reclassified from COGS) —</t>
  </si>
  <si>
    <t>General &amp; Administrative Expenses</t>
  </si>
  <si>
    <t>Office Rent &amp; Utilities</t>
  </si>
  <si>
    <t xml:space="preserve">Assumes first-three years is remote. </t>
  </si>
  <si>
    <t>IT &amp; Software Expenses</t>
  </si>
  <si>
    <t>$100 per employee, dependent on staff number</t>
  </si>
  <si>
    <t>Office Supplies</t>
  </si>
  <si>
    <t>Professional Fees (Legal, Accounting, etc)</t>
  </si>
  <si>
    <t>Accounting Fees</t>
  </si>
  <si>
    <t>Based on avg CPA rates @ SG Firms, see hyperlink</t>
  </si>
  <si>
    <t>Legal Fees</t>
  </si>
  <si>
    <t>Based on avg rates @ SG Firms, see hyperlink.</t>
  </si>
  <si>
    <t>Registration Fees</t>
  </si>
  <si>
    <t>Q1 Fee based on ACRA Requirements</t>
  </si>
  <si>
    <t>Total General &amp; Administrative Expenses</t>
  </si>
  <si>
    <t>Depreciation &amp; Amortization</t>
  </si>
  <si>
    <t>Equipment Depreciation</t>
  </si>
  <si>
    <t>Amortization of Intangible Assets (Ex. Data Security Lisence)</t>
  </si>
  <si>
    <t>Total Depreciation &amp; Amortization Expenses</t>
  </si>
  <si>
    <t>Research &amp; Development (R&amp;D) Expenses</t>
  </si>
  <si>
    <t>Salaries &amp; Wages (R&amp;D Team)</t>
  </si>
  <si>
    <t xml:space="preserve">S$4250 for full-time role, hired in India. </t>
  </si>
  <si>
    <t>Materials for R&amp;D</t>
  </si>
  <si>
    <t>Product/Software R&amp;D Costs (Compliance, Usability, Security, etc)</t>
  </si>
  <si>
    <t>Cost already factored into R&amp;D Salary (S$4250)</t>
  </si>
  <si>
    <t>Contracted Educators (Build PD &amp; Content for Strategy Library)</t>
  </si>
  <si>
    <t xml:space="preserve">Assumes linear scaling. </t>
  </si>
  <si>
    <t>R&amp;D AI Development Costs</t>
  </si>
  <si>
    <t>Initial Build &amp; Configuration (MVP)</t>
  </si>
  <si>
    <t xml:space="preserve">Cost scaling hard to forecast. Based on token req. </t>
  </si>
  <si>
    <t>AI System Design, Integration &amp; Preparation (Anonymisation &amp; Quality Assurance)</t>
  </si>
  <si>
    <t>AI Monitoring &amp; Ongoing Maintenance</t>
  </si>
  <si>
    <t>Patent License Fees</t>
  </si>
  <si>
    <t xml:space="preserve">Assumes no initial or recurring patent fee for Y1-Y3. </t>
  </si>
  <si>
    <t>Total Research &amp; Development Expenses</t>
  </si>
  <si>
    <t>Note: R&amp;D cost already captured in salary rows above.</t>
  </si>
  <si>
    <t>TOTAL COSTS (Total COGS &amp; Operating Expenses) per Quarter</t>
  </si>
  <si>
    <t>TOTAL COSTS (Total COGS &amp; Operating Expenses) Annually</t>
  </si>
  <si>
    <t>TOTAL COSTS (Total COGS &amp; Operating Expenses) Y1-Y3</t>
  </si>
  <si>
    <t>PROFITABILITY</t>
  </si>
  <si>
    <t xml:space="preserve">Gross Profit </t>
  </si>
  <si>
    <t>Gross Profit (Quarterly)</t>
  </si>
  <si>
    <t>Gross Profit (Annually)</t>
  </si>
  <si>
    <t>Gross Profit (Y1-Y3)</t>
  </si>
  <si>
    <t>─── TRUE GROSS PROFIT (Revenue − COGS only) ───</t>
  </si>
  <si>
    <t>─── EBITDA ───</t>
  </si>
  <si>
    <t>EBITDA  (Gross Profit less S&amp;M, G&amp;A, R&amp;D; D&amp;A excluded)</t>
  </si>
  <si>
    <t>Add back: Depreciation &amp; Amortisation</t>
  </si>
  <si>
    <t>EBITDA (same as above until D&amp;A is non-zero)</t>
  </si>
  <si>
    <t>At S$185K cash balance, bank interest ≈ S$500/year. Update if applicable.</t>
  </si>
  <si>
    <t>Interest Expense</t>
  </si>
  <si>
    <t>No debt in current model. Update if venture debt is raised.</t>
  </si>
  <si>
    <t>Income Before Tax (EBT)</t>
  </si>
  <si>
    <t>Income Tax</t>
  </si>
  <si>
    <t>SG startup: 75% exempt first S$10K, 50% on next S$190K, then 17%. Applied only if Y3 EBT &gt; 0.</t>
  </si>
  <si>
    <t>NET INCOME / (LOSS)</t>
  </si>
  <si>
    <t>Cumulative Net Income / (Accumulated Deficit)</t>
  </si>
  <si>
    <t>IEPPAL — BALANCE SHEET</t>
  </si>
  <si>
    <t>ASSETS</t>
  </si>
  <si>
    <t>CURRENT ASSETS</t>
  </si>
  <si>
    <t>Cash &amp; Cash Equivalents</t>
  </si>
  <si>
    <t>Accounts Receivable (Net)</t>
  </si>
  <si>
    <t>Prepaid Expenses</t>
  </si>
  <si>
    <t>Other Current Assets</t>
  </si>
  <si>
    <t>Total Current Assets</t>
  </si>
  <si>
    <t>NON-CURRENT ASSETS</t>
  </si>
  <si>
    <t>Property, Plant &amp; Equipment (Net)</t>
  </si>
  <si>
    <t>Intangible Assets — Capitalised Software</t>
  </si>
  <si>
    <t>Right-of-Use Assets</t>
  </si>
  <si>
    <t>Other Non-Current Assets</t>
  </si>
  <si>
    <t>Total Non-Current Assets</t>
  </si>
  <si>
    <t>TOTAL ASSETS</t>
  </si>
  <si>
    <t>LIABILITIES</t>
  </si>
  <si>
    <t>CURRENT LIABILITIES</t>
  </si>
  <si>
    <t>Accounts Payable</t>
  </si>
  <si>
    <t>Deferred Revenue</t>
  </si>
  <si>
    <t>Accrued Expenses</t>
  </si>
  <si>
    <t>Income Tax Payable</t>
  </si>
  <si>
    <t>Other Current Liabilities</t>
  </si>
  <si>
    <t>Total Current Liabilities</t>
  </si>
  <si>
    <t>NON-CURRENT LIABILITIES</t>
  </si>
  <si>
    <t>Long-Term Debt</t>
  </si>
  <si>
    <t>Deferred Tax Liabilities</t>
  </si>
  <si>
    <t>Other Non-Current Liabilities</t>
  </si>
  <si>
    <t>Total Non-Current Liabilities</t>
  </si>
  <si>
    <t>TOTAL LIABILITIES</t>
  </si>
  <si>
    <t>EQUITY</t>
  </si>
  <si>
    <t>Share Capital / Paid-In Capital</t>
  </si>
  <si>
    <t>Share Premium</t>
  </si>
  <si>
    <t>Accumulated Deficit / Retained Earnings</t>
  </si>
  <si>
    <t>Other Comprehensive Income</t>
  </si>
  <si>
    <t>TOTAL EQUITY</t>
  </si>
  <si>
    <t>TOTAL LIABILITIES &amp; EQUITY</t>
  </si>
  <si>
    <t>⚖ Balance Check  (Total Assets − Total Liabilities &amp; Equity)  →  must equal zero</t>
  </si>
  <si>
    <t>── DEFERRED REVENUE SCHEDULE ──</t>
  </si>
  <si>
    <t>Cash collected from new annual contracts (upfront)</t>
  </si>
  <si>
    <t>Revenue recognized this quarter (IS row 52)</t>
  </si>
  <si>
    <t>Beginning Deferred Revenue balance</t>
  </si>
  <si>
    <t>Ending Deferred Revenue balance</t>
  </si>
  <si>
    <t>IEPPAL — CASH FLOW STATEMENT</t>
  </si>
  <si>
    <t>All figures in SGD. Indirect method. Green cells = linked from Income Statement. Blue cells = manual inputs. Populate each quarter-end.</t>
  </si>
  <si>
    <t>1 SGD ≈ 0.74 USD as at Jun 2026</t>
  </si>
  <si>
    <t>OPERATING ACTIVITIES</t>
  </si>
  <si>
    <t>Net Income / (Loss) [IS row 175 — after EBITDA, interest, tax]</t>
  </si>
  <si>
    <t xml:space="preserve">    Add: Depreciation &amp; Amortisation</t>
  </si>
  <si>
    <t xml:space="preserve">    Changes in Working Capital</t>
  </si>
  <si>
    <t xml:space="preserve">    (Increase) / Decrease in Accounts Receivable</t>
  </si>
  <si>
    <t xml:space="preserve">    Increase / (Decrease) in Deferred Revenue</t>
  </si>
  <si>
    <t xml:space="preserve">    Increase / (Decrease) in Accounts Payable</t>
  </si>
  <si>
    <t xml:space="preserve">    Other Working Capital Changes</t>
  </si>
  <si>
    <t>Net Cash from Operating Activities</t>
  </si>
  <si>
    <t>INVESTING ACTIVITIES</t>
  </si>
  <si>
    <t>Purchase of Property, Plant &amp; Equipment</t>
  </si>
  <si>
    <t>Capitalised Software Development Costs</t>
  </si>
  <si>
    <t>Other Investing Activities</t>
  </si>
  <si>
    <t>Net Cash from Investing Activities</t>
  </si>
  <si>
    <t>FINANCING ACTIVITIES</t>
  </si>
  <si>
    <t>Proceeds from Share Issuance</t>
  </si>
  <si>
    <t>Proceeds from Borrowings</t>
  </si>
  <si>
    <t>Repayment of Borrowings</t>
  </si>
  <si>
    <t>Dividends Paid</t>
  </si>
  <si>
    <t>Net Cash from Financing Activities</t>
  </si>
  <si>
    <t>CASH MOVEMENT SUMMARY</t>
  </si>
  <si>
    <t>Net Change in Cash</t>
  </si>
  <si>
    <t>Beginning Cash Balance</t>
  </si>
  <si>
    <t>ENDING CASH BALANCE</t>
  </si>
  <si>
    <t>Months of Runway Remaining (informational)</t>
  </si>
  <si>
    <t>Minimum Cash Floor (SGD 25,000) — flag if ending cash falls below</t>
  </si>
  <si>
    <t>IEPPAL — HEADCOUNT PLAN (All figures in SGD/month per head)</t>
  </si>
  <si>
    <t>Hiring Location Note: India-based roles ≈ 60–70 % cost saving vs. equivalent Singapore roles.</t>
  </si>
  <si>
    <t>Department</t>
  </si>
  <si>
    <t>Role</t>
  </si>
  <si>
    <t>Monthly Salary (SGD)</t>
  </si>
  <si>
    <t>Y1
Q1</t>
  </si>
  <si>
    <t>Y1
Q2</t>
  </si>
  <si>
    <t>Y1
Q3</t>
  </si>
  <si>
    <t>Y1
Q4</t>
  </si>
  <si>
    <t>Y2
Q1</t>
  </si>
  <si>
    <t>Y2
Q2</t>
  </si>
  <si>
    <t>Y2
Q3</t>
  </si>
  <si>
    <t>Y2
Q4</t>
  </si>
  <si>
    <t>Y3
Q1</t>
  </si>
  <si>
    <t>Y3
Q2</t>
  </si>
  <si>
    <t>Y3
Q3</t>
  </si>
  <si>
    <t>Y3
Q4</t>
  </si>
  <si>
    <t>Engineering</t>
  </si>
  <si>
    <t>Software Engineer (India)</t>
  </si>
  <si>
    <t>R&amp;D / AI</t>
  </si>
  <si>
    <t>R&amp;D Lead (India)</t>
  </si>
  <si>
    <t>AI Dev Engineer (India)</t>
  </si>
  <si>
    <t>Marketing</t>
  </si>
  <si>
    <t>Marketing Lead (India)</t>
  </si>
  <si>
    <t>Sales &amp; Partnerships</t>
  </si>
  <si>
    <t>Sales &amp; Partnerships Lead (SG)</t>
  </si>
  <si>
    <t>TOTAL HEADCOUNT</t>
  </si>
  <si>
    <t>TOTAL QUARTERLY SALARY COST (SGD)</t>
  </si>
  <si>
    <t>IEPPAL — ARR WATERFALL</t>
  </si>
  <si>
    <t>Metric</t>
  </si>
  <si>
    <t>Y1 Q2</t>
  </si>
  <si>
    <t>Y1 Q3</t>
  </si>
  <si>
    <t>Y1 Q4</t>
  </si>
  <si>
    <t>Y2 Q1</t>
  </si>
  <si>
    <t>Y2 Q3</t>
  </si>
  <si>
    <t>Y2 Q4</t>
  </si>
  <si>
    <t>Y3 Q1</t>
  </si>
  <si>
    <t>Y3 Q2</t>
  </si>
  <si>
    <t>Y3 Q3</t>
  </si>
  <si>
    <t>Y3 Q4</t>
  </si>
  <si>
    <t>ARR BY TIER (quarterly revenue × 4)</t>
  </si>
  <si>
    <t>Basic ARR</t>
  </si>
  <si>
    <t>Schools ARR</t>
  </si>
  <si>
    <t>Custom ARR</t>
  </si>
  <si>
    <t>Total ARR</t>
  </si>
  <si>
    <t>ARR MOVEMENT WATERFALL</t>
  </si>
  <si>
    <t>Beginning ARR</t>
  </si>
  <si>
    <t>+ New ARR (from new school contracts)</t>
  </si>
  <si>
    <t>+ Expansion ARR (8% net expansion on Schools + Custom)</t>
  </si>
  <si>
    <t>- Churned ARR</t>
  </si>
  <si>
    <t>Ending ARR</t>
  </si>
  <si>
    <t>Net New ARR</t>
  </si>
  <si>
    <t>MRR</t>
  </si>
  <si>
    <t>Beginning MRR</t>
  </si>
  <si>
    <t>Ending MRR</t>
  </si>
  <si>
    <t>Net New MRR</t>
  </si>
  <si>
    <t>RATIOS</t>
  </si>
  <si>
    <t>ARR Growth QoQ %</t>
  </si>
  <si>
    <t>-</t>
  </si>
  <si>
    <t>Gross Churn Rate</t>
  </si>
  <si>
    <t>NRR (Net Revenue Retention)</t>
  </si>
  <si>
    <t>Quick Ratio</t>
  </si>
  <si>
    <t>BENCHMARKS: NRR&gt;100%=best-in-class | NRR 90-100%=acceptable early-stage | QuickRatio&gt;4=high-growth | Target NRR&gt;100% by Y2Q3</t>
  </si>
  <si>
    <t>IEPPAL — ACCOUNT WATERFALL (School Contracts / Logos)</t>
  </si>
  <si>
    <t>Tracks contracts, not students. B2B school procurement: 3-6 month cycle, 3-quarter lead-to-revenue lag.</t>
  </si>
  <si>
    <t>── Basic Tier ──</t>
  </si>
  <si>
    <t>Basic — Beginning accounts</t>
  </si>
  <si>
    <t>Basic — + New accounts won</t>
  </si>
  <si>
    <t>Basic — - Churned accounts</t>
  </si>
  <si>
    <t>Basic — = Ending accounts</t>
  </si>
  <si>
    <t>── Schools Tier ──</t>
  </si>
  <si>
    <t>Schools — Beginning accounts</t>
  </si>
  <si>
    <t>Schools — + New accounts won</t>
  </si>
  <si>
    <t>Schools — - Churned accounts</t>
  </si>
  <si>
    <t>Schools — = Ending accounts</t>
  </si>
  <si>
    <t>── Custom Tier ──</t>
  </si>
  <si>
    <t>Custom — Beginning accounts</t>
  </si>
  <si>
    <t>Custom — + New accounts won</t>
  </si>
  <si>
    <t>Custom — - Churned accounts</t>
  </si>
  <si>
    <t>Custom — = Ending accounts</t>
  </si>
  <si>
    <t>── SALES FUNNEL ──</t>
  </si>
  <si>
    <t>Lead-to-close lag: 2 qtrs | Contract-to-revenue: 1 qtr | Total lead-to-revenue: 3 qtrs | Close rate: 20%</t>
  </si>
  <si>
    <t>Implied leads — Basic</t>
  </si>
  <si>
    <t>Implied leads — Schools</t>
  </si>
  <si>
    <t>Implied leads — Custom</t>
  </si>
  <si>
    <t>── AGGREGATE ──</t>
  </si>
  <si>
    <t>Total accounts (all tiers)</t>
  </si>
  <si>
    <t>Total students (all tiers)</t>
  </si>
  <si>
    <t>ARPA per quarter (SGD)</t>
  </si>
  <si>
    <t>ARPA annualised (SGD)</t>
  </si>
  <si>
    <t>PAYBACK, RETENTION &amp; CONTRACT METRICS</t>
  </si>
  <si>
    <t>⚠ Churn note: Enrolled students now flow through 5% quarterly gross churn (Key Assumptions C16). Revenue will be lower than no-churn model — expected and investor-defensible.</t>
  </si>
  <si>
    <t>Model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</si>
</sst>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_);_(\$* \(#,##0\);_(\$* \-??_);_(@_)"/>
    <numFmt numFmtId="165" formatCode="_(\$* #,##0.00_);_(\$* \(#,##0.00\);_(\$* \-??_);_(@_)"/>
    <numFmt numFmtId="166" formatCode="#,##0;\(#,##0\);\-"/>
    <numFmt numFmtId="167" formatCode="&quot;$&quot;#,##0.00"/>
    <numFmt numFmtId="168" formatCode="0.0%"/>
  </numFmts>
  <fonts count="32" x14ac:knownFonts="1">
    <font>
      <sz val="12"/>
      <color theme="1"/>
      <name val="Aptos Narrow"/>
      <family val="2"/>
      <charset val="1"/>
    </font>
    <font>
      <b/>
      <sz val="16"/>
      <name val="Times New Roman"/>
      <family val="1"/>
      <charset val="1"/>
    </font>
    <font>
      <sz val="14"/>
      <name val="Times New Roman"/>
      <family val="1"/>
      <charset val="1"/>
    </font>
    <font>
      <b/>
      <u/>
      <sz val="16"/>
      <name val="Times New Roman"/>
      <family val="1"/>
      <charset val="1"/>
    </font>
    <font>
      <b/>
      <sz val="14"/>
      <name val="Times New Roman"/>
      <family val="1"/>
      <charset val="1"/>
    </font>
    <font>
      <b/>
      <u/>
      <sz val="14"/>
      <name val="Times New Roman"/>
      <family val="1"/>
      <charset val="1"/>
    </font>
    <font>
      <b/>
      <sz val="11"/>
      <color rgb="FFFF0000"/>
      <name val="Times New Roman"/>
      <family val="1"/>
      <charset val="1"/>
    </font>
    <font>
      <u/>
      <sz val="14"/>
      <name val="Times New Roman"/>
      <family val="1"/>
      <charset val="1"/>
    </font>
    <font>
      <i/>
      <sz val="14"/>
      <name val="Times New Roman"/>
      <family val="1"/>
      <charset val="1"/>
    </font>
    <font>
      <u/>
      <sz val="14"/>
      <color rgb="FF0000FF"/>
      <name val="Times New Roman"/>
      <family val="1"/>
      <charset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i/>
      <sz val="14"/>
      <color rgb="FF595959"/>
      <name val="Times New Roman"/>
      <family val="1"/>
    </font>
    <font>
      <sz val="14"/>
      <color rgb="FF00B050"/>
      <name val="Times New Roman"/>
      <family val="1"/>
    </font>
    <font>
      <sz val="14"/>
      <color rgb="FF0000FF"/>
      <name val="Times New Roman"/>
      <family val="1"/>
    </font>
    <font>
      <sz val="14"/>
      <color rgb="FF000000"/>
      <name val="Times New Roman"/>
      <family val="1"/>
    </font>
    <font>
      <b/>
      <i/>
      <sz val="14"/>
      <color rgb="FFFF0000"/>
      <name val="Times New Roman"/>
      <family val="1"/>
    </font>
    <font>
      <sz val="14"/>
      <color rgb="FF008000"/>
      <name val="Times New Roman"/>
      <family val="1"/>
    </font>
    <font>
      <b/>
      <sz val="16"/>
      <name val="Times New Roman"/>
      <family val="1"/>
    </font>
    <font>
      <sz val="11"/>
      <name val="Times New Roman"/>
      <family val="1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sz val="12"/>
      <color rgb="FF0000FF"/>
      <name val="Times New Roman"/>
      <family val="1"/>
    </font>
    <font>
      <b/>
      <sz val="12"/>
      <name val="Times New Roman"/>
      <family val="1"/>
    </font>
    <font>
      <b/>
      <sz val="14"/>
      <color rgb="FFFFFFFF"/>
      <name val="Times New Roman"/>
      <family val="1"/>
    </font>
    <font>
      <b/>
      <sz val="14"/>
      <name val="Aptos Narrow"/>
    </font>
    <font>
      <sz val="14"/>
      <color theme="1"/>
      <name val="Aptos Narrow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theme="2" tint="-9.9978637043366805E-2"/>
        <bgColor rgb="FFBDD7EE"/>
      </patternFill>
    </fill>
    <fill>
      <patternFill patternType="solid">
        <fgColor rgb="FFFFFF00"/>
        <bgColor rgb="FFFFCC00"/>
      </patternFill>
    </fill>
    <fill>
      <patternFill patternType="solid">
        <fgColor theme="2"/>
        <bgColor rgb="FFDEEAF1"/>
      </patternFill>
    </fill>
    <fill>
      <patternFill patternType="solid">
        <fgColor theme="6" tint="0.79979857783745845"/>
        <bgColor rgb="FFE2EFDA"/>
      </patternFill>
    </fill>
    <fill>
      <patternFill patternType="solid">
        <fgColor theme="8" tint="0.79979857783745845"/>
        <bgColor rgb="FFFBE3D6"/>
      </patternFill>
    </fill>
    <fill>
      <patternFill patternType="solid">
        <fgColor theme="5" tint="0.79979857783745845"/>
        <bgColor rgb="FFFCE4D6"/>
      </patternFill>
    </fill>
    <fill>
      <patternFill patternType="solid">
        <fgColor rgb="FF375623"/>
        <bgColor rgb="FF595959"/>
      </patternFill>
    </fill>
    <fill>
      <patternFill patternType="solid">
        <fgColor rgb="FF833C00"/>
        <bgColor rgb="FF993366"/>
      </patternFill>
    </fill>
    <fill>
      <patternFill patternType="solid">
        <fgColor rgb="FFD6E4F7"/>
        <bgColor rgb="FFDEEAF1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5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165" fontId="1" fillId="0" borderId="0" xfId="0" applyNumberFormat="1" applyFont="1"/>
    <xf numFmtId="164" fontId="5" fillId="0" borderId="0" xfId="0" applyNumberFormat="1" applyFont="1" applyAlignment="1">
      <alignment vertical="center" readingOrder="1"/>
    </xf>
    <xf numFmtId="164" fontId="2" fillId="0" borderId="0" xfId="0" applyNumberFormat="1" applyFont="1"/>
    <xf numFmtId="164" fontId="4" fillId="5" borderId="0" xfId="0" applyNumberFormat="1" applyFont="1" applyFill="1" applyAlignment="1">
      <alignment vertical="center" readingOrder="1"/>
    </xf>
    <xf numFmtId="164" fontId="2" fillId="5" borderId="0" xfId="0" applyNumberFormat="1" applyFont="1" applyFill="1"/>
    <xf numFmtId="0" fontId="2" fillId="5" borderId="0" xfId="0" applyFont="1" applyFill="1" applyAlignment="1">
      <alignment wrapText="1"/>
    </xf>
    <xf numFmtId="0" fontId="2" fillId="5" borderId="0" xfId="0" applyFont="1" applyFill="1"/>
    <xf numFmtId="164" fontId="2" fillId="0" borderId="0" xfId="0" applyNumberFormat="1" applyFont="1" applyAlignment="1">
      <alignment vertical="center" readingOrder="1"/>
    </xf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" fontId="2" fillId="0" borderId="0" xfId="0" applyNumberFormat="1" applyFont="1"/>
    <xf numFmtId="164" fontId="7" fillId="0" borderId="0" xfId="0" applyNumberFormat="1" applyFont="1" applyAlignment="1">
      <alignment vertical="center" readingOrder="1"/>
    </xf>
    <xf numFmtId="164" fontId="7" fillId="0" borderId="0" xfId="0" applyNumberFormat="1" applyFont="1"/>
    <xf numFmtId="1" fontId="2" fillId="0" borderId="0" xfId="0" applyNumberFormat="1" applyFont="1" applyAlignment="1">
      <alignment vertical="center" readingOrder="1"/>
    </xf>
    <xf numFmtId="164" fontId="4" fillId="4" borderId="0" xfId="0" applyNumberFormat="1" applyFont="1" applyFill="1"/>
    <xf numFmtId="164" fontId="5" fillId="4" borderId="0" xfId="0" applyNumberFormat="1" applyFont="1" applyFill="1"/>
    <xf numFmtId="164" fontId="4" fillId="0" borderId="0" xfId="0" applyNumberFormat="1" applyFont="1"/>
    <xf numFmtId="164" fontId="2" fillId="0" borderId="0" xfId="0" applyNumberFormat="1" applyFont="1" applyAlignment="1">
      <alignment horizontal="left" vertical="center" indent="3" readingOrder="1"/>
    </xf>
    <xf numFmtId="164" fontId="5" fillId="5" borderId="0" xfId="0" applyNumberFormat="1" applyFont="1" applyFill="1" applyAlignment="1">
      <alignment vertical="center" readingOrder="1"/>
    </xf>
    <xf numFmtId="164" fontId="2" fillId="0" borderId="0" xfId="0" applyNumberFormat="1" applyFont="1" applyAlignment="1">
      <alignment horizontal="center"/>
    </xf>
    <xf numFmtId="164" fontId="2" fillId="4" borderId="0" xfId="0" applyNumberFormat="1" applyFont="1" applyFill="1"/>
    <xf numFmtId="164" fontId="5" fillId="0" borderId="0" xfId="0" applyNumberFormat="1" applyFont="1"/>
    <xf numFmtId="164" fontId="2" fillId="7" borderId="0" xfId="0" applyNumberFormat="1" applyFont="1" applyFill="1"/>
    <xf numFmtId="164" fontId="5" fillId="7" borderId="0" xfId="0" applyNumberFormat="1" applyFont="1" applyFill="1"/>
    <xf numFmtId="165" fontId="2" fillId="0" borderId="0" xfId="0" applyNumberFormat="1" applyFont="1" applyAlignment="1">
      <alignment wrapText="1"/>
    </xf>
    <xf numFmtId="164" fontId="4" fillId="0" borderId="0" xfId="0" applyNumberFormat="1" applyFont="1" applyAlignment="1">
      <alignment vertical="center" readingOrder="1"/>
    </xf>
    <xf numFmtId="164" fontId="9" fillId="0" borderId="0" xfId="0" applyNumberFormat="1" applyFont="1" applyAlignment="1">
      <alignment vertical="center" readingOrder="1"/>
    </xf>
    <xf numFmtId="164" fontId="5" fillId="0" borderId="0" xfId="0" applyNumberFormat="1" applyFont="1" applyAlignment="1">
      <alignment horizontal="left" vertical="center" readingOrder="1"/>
    </xf>
    <xf numFmtId="164" fontId="9" fillId="0" borderId="0" xfId="0" applyNumberFormat="1" applyFont="1"/>
    <xf numFmtId="0" fontId="4" fillId="0" borderId="0" xfId="0" applyFont="1" applyAlignment="1">
      <alignment wrapText="1"/>
    </xf>
    <xf numFmtId="0" fontId="4" fillId="0" borderId="0" xfId="0" applyFont="1"/>
    <xf numFmtId="165" fontId="5" fillId="0" borderId="0" xfId="0" applyNumberFormat="1" applyFont="1" applyAlignment="1">
      <alignment wrapText="1"/>
    </xf>
    <xf numFmtId="164" fontId="2" fillId="8" borderId="0" xfId="0" applyNumberFormat="1" applyFont="1" applyFill="1"/>
    <xf numFmtId="164" fontId="5" fillId="8" borderId="0" xfId="0" applyNumberFormat="1" applyFont="1" applyFill="1"/>
    <xf numFmtId="164" fontId="5" fillId="9" borderId="0" xfId="0" applyNumberFormat="1" applyFont="1" applyFill="1"/>
    <xf numFmtId="0" fontId="10" fillId="0" borderId="0" xfId="0" applyFont="1"/>
    <xf numFmtId="164" fontId="12" fillId="0" borderId="0" xfId="0" applyNumberFormat="1" applyFont="1" applyAlignment="1">
      <alignment vertical="center" readingOrder="1"/>
    </xf>
    <xf numFmtId="164" fontId="12" fillId="4" borderId="0" xfId="0" applyNumberFormat="1" applyFont="1" applyFill="1"/>
    <xf numFmtId="164" fontId="12" fillId="0" borderId="0" xfId="0" applyNumberFormat="1" applyFont="1"/>
    <xf numFmtId="0" fontId="13" fillId="0" borderId="0" xfId="0" applyFont="1"/>
    <xf numFmtId="0" fontId="12" fillId="0" borderId="0" xfId="0" applyFont="1"/>
    <xf numFmtId="0" fontId="14" fillId="0" borderId="0" xfId="0" applyFont="1" applyAlignment="1">
      <alignment vertical="top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1" fillId="0" borderId="0" xfId="0" applyFont="1"/>
    <xf numFmtId="164" fontId="18" fillId="0" borderId="0" xfId="0" applyNumberFormat="1" applyFont="1"/>
    <xf numFmtId="164" fontId="19" fillId="0" borderId="0" xfId="0" applyNumberFormat="1" applyFont="1"/>
    <xf numFmtId="164" fontId="20" fillId="0" borderId="1" xfId="0" applyNumberFormat="1" applyFont="1" applyBorder="1"/>
    <xf numFmtId="0" fontId="21" fillId="0" borderId="0" xfId="0" applyFont="1"/>
    <xf numFmtId="164" fontId="20" fillId="0" borderId="0" xfId="0" applyNumberFormat="1" applyFont="1"/>
    <xf numFmtId="164" fontId="22" fillId="0" borderId="0" xfId="0" applyNumberFormat="1" applyFont="1"/>
    <xf numFmtId="0" fontId="23" fillId="0" borderId="0" xfId="0" applyFont="1"/>
    <xf numFmtId="0" fontId="24" fillId="0" borderId="0" xfId="0" applyFont="1"/>
    <xf numFmtId="0" fontId="25" fillId="2" borderId="0" xfId="0" applyFont="1" applyFill="1" applyAlignment="1">
      <alignment horizontal="center" vertical="center"/>
    </xf>
    <xf numFmtId="0" fontId="26" fillId="0" borderId="0" xfId="0" applyFont="1"/>
    <xf numFmtId="0" fontId="29" fillId="2" borderId="0" xfId="0" applyFont="1" applyFill="1" applyAlignment="1">
      <alignment horizontal="center" vertical="center"/>
    </xf>
    <xf numFmtId="0" fontId="29" fillId="2" borderId="0" xfId="0" applyFont="1" applyFill="1"/>
    <xf numFmtId="0" fontId="12" fillId="2" borderId="0" xfId="0" applyFont="1" applyFill="1"/>
    <xf numFmtId="166" fontId="19" fillId="0" borderId="0" xfId="0" applyNumberFormat="1" applyFont="1"/>
    <xf numFmtId="166" fontId="11" fillId="0" borderId="0" xfId="0" applyNumberFormat="1" applyFont="1"/>
    <xf numFmtId="0" fontId="29" fillId="3" borderId="0" xfId="0" applyFont="1" applyFill="1"/>
    <xf numFmtId="0" fontId="12" fillId="3" borderId="0" xfId="0" applyFont="1" applyFill="1"/>
    <xf numFmtId="0" fontId="29" fillId="10" borderId="0" xfId="0" applyFont="1" applyFill="1"/>
    <xf numFmtId="0" fontId="12" fillId="10" borderId="0" xfId="0" applyFont="1" applyFill="1"/>
    <xf numFmtId="0" fontId="29" fillId="11" borderId="0" xfId="0" applyFont="1" applyFill="1"/>
    <xf numFmtId="0" fontId="12" fillId="11" borderId="0" xfId="0" applyFont="1" applyFill="1"/>
    <xf numFmtId="166" fontId="15" fillId="12" borderId="0" xfId="0" applyNumberFormat="1" applyFont="1" applyFill="1"/>
    <xf numFmtId="166" fontId="20" fillId="12" borderId="0" xfId="0" applyNumberFormat="1" applyFont="1" applyFill="1"/>
    <xf numFmtId="166" fontId="20" fillId="0" borderId="0" xfId="0" applyNumberFormat="1" applyFont="1"/>
    <xf numFmtId="164" fontId="12" fillId="13" borderId="0" xfId="0" applyNumberFormat="1" applyFont="1" applyFill="1" applyAlignment="1">
      <alignment vertical="center" readingOrder="1"/>
    </xf>
    <xf numFmtId="164" fontId="12" fillId="13" borderId="0" xfId="0" applyNumberFormat="1" applyFont="1" applyFill="1"/>
    <xf numFmtId="0" fontId="12" fillId="13" borderId="0" xfId="0" applyFont="1" applyFill="1"/>
    <xf numFmtId="0" fontId="27" fillId="0" borderId="0" xfId="0" applyFont="1"/>
    <xf numFmtId="0" fontId="26" fillId="0" borderId="0" xfId="0" applyFont="1" applyAlignment="1">
      <alignment wrapText="1"/>
    </xf>
    <xf numFmtId="0" fontId="26" fillId="4" borderId="0" xfId="0" applyFont="1" applyFill="1" applyAlignment="1">
      <alignment horizontal="center"/>
    </xf>
    <xf numFmtId="9" fontId="27" fillId="0" borderId="0" xfId="0" applyNumberFormat="1" applyFont="1"/>
    <xf numFmtId="167" fontId="27" fillId="0" borderId="0" xfId="0" applyNumberFormat="1" applyFont="1"/>
    <xf numFmtId="0" fontId="28" fillId="0" borderId="0" xfId="0" applyFont="1"/>
    <xf numFmtId="0" fontId="10" fillId="13" borderId="0" xfId="0" applyFont="1" applyFill="1"/>
    <xf numFmtId="168" fontId="12" fillId="0" borderId="0" xfId="0" applyNumberFormat="1" applyFont="1"/>
    <xf numFmtId="0" fontId="13" fillId="0" borderId="0" xfId="0" applyFont="1"/>
    <xf numFmtId="0" fontId="14" fillId="13" borderId="0" xfId="0" applyFont="1" applyFill="1" applyAlignment="1">
      <alignment horizontal="center"/>
    </xf>
    <xf numFmtId="164" fontId="9" fillId="6" borderId="0" xfId="0" applyNumberFormat="1" applyFont="1" applyFill="1" applyAlignment="1">
      <alignment vertical="center" readingOrder="1"/>
    </xf>
    <xf numFmtId="165" fontId="2" fillId="0" borderId="0" xfId="0" applyNumberFormat="1" applyFont="1"/>
    <xf numFmtId="0" fontId="2" fillId="0" borderId="0" xfId="0" applyFont="1"/>
    <xf numFmtId="165" fontId="2" fillId="13" borderId="0" xfId="0" applyNumberFormat="1" applyFont="1" applyFill="1" applyAlignment="1">
      <alignment horizontal="center"/>
    </xf>
    <xf numFmtId="164" fontId="4" fillId="6" borderId="0" xfId="0" applyNumberFormat="1" applyFont="1" applyFill="1" applyAlignment="1">
      <alignment vertical="center" readingOrder="1"/>
    </xf>
    <xf numFmtId="0" fontId="2" fillId="13" borderId="0" xfId="0" applyFont="1" applyFill="1" applyAlignment="1">
      <alignment horizontal="center"/>
    </xf>
    <xf numFmtId="164" fontId="2" fillId="6" borderId="0" xfId="0" applyNumberFormat="1" applyFont="1" applyFill="1" applyAlignment="1">
      <alignment vertical="center" readingOrder="1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/>
    <xf numFmtId="164" fontId="2" fillId="6" borderId="0" xfId="0" applyNumberFormat="1" applyFont="1" applyFill="1"/>
    <xf numFmtId="164" fontId="8" fillId="4" borderId="0" xfId="0" applyNumberFormat="1" applyFont="1" applyFill="1" applyAlignment="1">
      <alignment vertical="center" readingOrder="1"/>
    </xf>
    <xf numFmtId="164" fontId="4" fillId="6" borderId="0" xfId="0" applyNumberFormat="1" applyFont="1" applyFill="1"/>
    <xf numFmtId="0" fontId="15" fillId="0" borderId="0" xfId="0" applyFont="1"/>
    <xf numFmtId="0" fontId="12" fillId="0" borderId="0" xfId="0" applyFo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13" borderId="0" xfId="0" applyFont="1" applyFill="1" applyAlignment="1">
      <alignment horizontal="center"/>
    </xf>
    <xf numFmtId="0" fontId="30" fillId="0" borderId="0" xfId="0" applyFont="1" applyAlignment="1">
      <alignment horizontal="center" vertical="center"/>
    </xf>
    <xf numFmtId="0" fontId="31" fillId="0" borderId="0" xfId="0" applyFont="1"/>
    <xf numFmtId="1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E8E8E8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2F1C8"/>
      <rgbColor rgb="FFFCE4D6"/>
      <rgbColor rgb="FFD1D1D1"/>
      <rgbColor rgb="FFF2CFEE"/>
      <rgbColor rgb="FFD6E4F7"/>
      <rgbColor rgb="FFFBE3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ddit.com/r/OpenAI/comments/1j042mt/spent_5596000000_input_tokens_in_february_all/" TargetMode="External"/><Relationship Id="rId2" Type="http://schemas.openxmlformats.org/officeDocument/2006/relationships/hyperlink" Target="https://www.glassdoor.co.in/Salaries/software-engineer-salary-SRCH_KO0,17.htm" TargetMode="External"/><Relationship Id="rId1" Type="http://schemas.openxmlformats.org/officeDocument/2006/relationships/hyperlink" Target="https://www.glassdoor.co.in/Salaries/software-engineer-salary-SRCH_KO0,17.htm" TargetMode="External"/><Relationship Id="rId6" Type="http://schemas.openxmlformats.org/officeDocument/2006/relationships/hyperlink" Target="https://taxfiling.sg/articles/accountant-cost-singapore-2025/" TargetMode="External"/><Relationship Id="rId5" Type="http://schemas.openxmlformats.org/officeDocument/2006/relationships/hyperlink" Target="https://www.getastra.com/pricing" TargetMode="External"/><Relationship Id="rId4" Type="http://schemas.openxmlformats.org/officeDocument/2006/relationships/hyperlink" Target="https://cybersierra.co/blog/hidden-gdpr-compliance-expenses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zoomScale="125" zoomScaleNormal="125" workbookViewId="0">
      <selection activeCell="A33" sqref="A33:XFD33"/>
    </sheetView>
  </sheetViews>
  <sheetFormatPr baseColWidth="10" defaultColWidth="8.5" defaultRowHeight="16" x14ac:dyDescent="0.2"/>
  <cols>
    <col min="1" max="1" width="18" style="45" customWidth="1"/>
    <col min="2" max="2" width="46" style="45" customWidth="1"/>
    <col min="3" max="3" width="30" style="45" customWidth="1"/>
    <col min="4" max="4" width="22" style="45" customWidth="1"/>
    <col min="5" max="5" width="55" style="45" customWidth="1"/>
    <col min="6" max="6" width="8.5" style="45" customWidth="1"/>
    <col min="7" max="16384" width="8.5" style="45"/>
  </cols>
  <sheetData>
    <row r="1" spans="1:5" ht="19.5" customHeight="1" x14ac:dyDescent="0.2">
      <c r="A1" s="62" t="s">
        <v>38</v>
      </c>
    </row>
    <row r="2" spans="1:5" ht="15" customHeight="1" x14ac:dyDescent="0.2">
      <c r="A2" s="63" t="s">
        <v>39</v>
      </c>
    </row>
    <row r="4" spans="1:5" ht="15" customHeight="1" x14ac:dyDescent="0.2">
      <c r="A4" s="64" t="s">
        <v>40</v>
      </c>
      <c r="B4" s="64" t="s">
        <v>41</v>
      </c>
      <c r="C4" s="64" t="s">
        <v>42</v>
      </c>
      <c r="D4" s="64" t="s">
        <v>43</v>
      </c>
      <c r="E4" s="64" t="s">
        <v>44</v>
      </c>
    </row>
    <row r="5" spans="1:5" ht="15" customHeight="1" x14ac:dyDescent="0.2">
      <c r="A5" s="65" t="s">
        <v>45</v>
      </c>
      <c r="B5" s="65" t="s">
        <v>46</v>
      </c>
      <c r="C5" s="83" t="s">
        <v>47</v>
      </c>
      <c r="D5" s="65"/>
      <c r="E5" s="65" t="s">
        <v>48</v>
      </c>
    </row>
    <row r="6" spans="1:5" ht="15" customHeight="1" x14ac:dyDescent="0.2">
      <c r="A6" s="65" t="s">
        <v>45</v>
      </c>
      <c r="B6" s="65" t="s">
        <v>49</v>
      </c>
      <c r="C6" s="83" t="s">
        <v>50</v>
      </c>
      <c r="D6" s="65"/>
      <c r="E6" s="65"/>
    </row>
    <row r="7" spans="1:5" ht="31.5" customHeight="1" x14ac:dyDescent="0.2">
      <c r="A7" s="65" t="s">
        <v>45</v>
      </c>
      <c r="B7" s="65" t="s">
        <v>51</v>
      </c>
      <c r="C7" s="83" t="s">
        <v>52</v>
      </c>
      <c r="D7" s="65"/>
      <c r="E7" s="84" t="s">
        <v>53</v>
      </c>
    </row>
    <row r="8" spans="1:5" ht="15" customHeight="1" x14ac:dyDescent="0.2">
      <c r="A8" s="65" t="s">
        <v>45</v>
      </c>
      <c r="B8" s="65" t="s">
        <v>54</v>
      </c>
      <c r="C8" s="83" t="s">
        <v>55</v>
      </c>
      <c r="D8" s="65"/>
      <c r="E8" s="65" t="s">
        <v>48</v>
      </c>
    </row>
    <row r="9" spans="1:5" ht="15" customHeight="1" x14ac:dyDescent="0.2">
      <c r="A9" s="65" t="s">
        <v>45</v>
      </c>
      <c r="B9" s="65" t="s">
        <v>56</v>
      </c>
      <c r="C9" s="83" t="s">
        <v>50</v>
      </c>
      <c r="D9" s="65"/>
      <c r="E9" s="65"/>
    </row>
    <row r="10" spans="1:5" ht="31.5" customHeight="1" x14ac:dyDescent="0.2">
      <c r="A10" s="65" t="s">
        <v>45</v>
      </c>
      <c r="B10" s="65" t="s">
        <v>57</v>
      </c>
      <c r="C10" s="83" t="s">
        <v>50</v>
      </c>
      <c r="D10" s="65"/>
      <c r="E10" s="84" t="s">
        <v>58</v>
      </c>
    </row>
    <row r="11" spans="1:5" ht="36" customHeight="1" x14ac:dyDescent="0.2">
      <c r="A11" s="65" t="s">
        <v>45</v>
      </c>
      <c r="B11" s="65" t="s">
        <v>59</v>
      </c>
      <c r="C11" s="83" t="s">
        <v>60</v>
      </c>
      <c r="D11" s="65"/>
      <c r="E11" s="84" t="s">
        <v>61</v>
      </c>
    </row>
    <row r="12" spans="1:5" ht="15" customHeight="1" x14ac:dyDescent="0.2">
      <c r="A12" s="65" t="s">
        <v>45</v>
      </c>
      <c r="B12" s="65" t="s">
        <v>62</v>
      </c>
      <c r="C12" s="83" t="s">
        <v>50</v>
      </c>
      <c r="D12" s="65"/>
      <c r="E12" s="65"/>
    </row>
    <row r="13" spans="1:5" ht="15" customHeight="1" x14ac:dyDescent="0.2">
      <c r="A13" s="65" t="s">
        <v>45</v>
      </c>
      <c r="B13" s="65" t="s">
        <v>63</v>
      </c>
      <c r="C13" s="83" t="s">
        <v>64</v>
      </c>
      <c r="D13" s="65"/>
      <c r="E13" s="84" t="s">
        <v>58</v>
      </c>
    </row>
    <row r="14" spans="1:5" s="85" customFormat="1" ht="15" customHeight="1" x14ac:dyDescent="0.2"/>
    <row r="15" spans="1:5" ht="15" customHeight="1" x14ac:dyDescent="0.2">
      <c r="A15" s="65" t="s">
        <v>65</v>
      </c>
      <c r="B15" s="65" t="s">
        <v>66</v>
      </c>
      <c r="C15" s="83" t="s">
        <v>67</v>
      </c>
      <c r="D15" s="65"/>
      <c r="E15" s="65" t="s">
        <v>68</v>
      </c>
    </row>
    <row r="16" spans="1:5" ht="15" customHeight="1" x14ac:dyDescent="0.2">
      <c r="A16" s="65" t="s">
        <v>69</v>
      </c>
      <c r="B16" s="65" t="s">
        <v>70</v>
      </c>
      <c r="C16" s="86">
        <v>0.05</v>
      </c>
      <c r="D16" s="65"/>
      <c r="E16" s="65" t="s">
        <v>71</v>
      </c>
    </row>
    <row r="17" spans="1:5" ht="15" customHeight="1" x14ac:dyDescent="0.2">
      <c r="A17" s="65" t="s">
        <v>69</v>
      </c>
      <c r="B17" s="65" t="s">
        <v>72</v>
      </c>
      <c r="C17" s="86">
        <v>0.08</v>
      </c>
      <c r="D17" s="65"/>
      <c r="E17" s="65" t="s">
        <v>73</v>
      </c>
    </row>
    <row r="18" spans="1:5" s="85" customFormat="1" ht="15" customHeight="1" x14ac:dyDescent="0.2"/>
    <row r="19" spans="1:5" ht="15" customHeight="1" x14ac:dyDescent="0.2">
      <c r="A19" s="65" t="s">
        <v>74</v>
      </c>
      <c r="B19" s="65" t="s">
        <v>75</v>
      </c>
      <c r="C19" s="83" t="s">
        <v>76</v>
      </c>
      <c r="D19" s="65"/>
      <c r="E19" s="65" t="s">
        <v>77</v>
      </c>
    </row>
    <row r="20" spans="1:5" ht="15" customHeight="1" x14ac:dyDescent="0.2">
      <c r="A20" s="65" t="s">
        <v>74</v>
      </c>
      <c r="B20" s="65" t="s">
        <v>78</v>
      </c>
      <c r="C20" s="83" t="s">
        <v>79</v>
      </c>
      <c r="D20" s="65"/>
      <c r="E20" s="65" t="s">
        <v>80</v>
      </c>
    </row>
    <row r="21" spans="1:5" ht="15" customHeight="1" x14ac:dyDescent="0.2">
      <c r="A21" s="65" t="s">
        <v>74</v>
      </c>
      <c r="B21" s="65" t="s">
        <v>81</v>
      </c>
      <c r="C21" s="83" t="s">
        <v>82</v>
      </c>
      <c r="D21" s="65"/>
      <c r="E21" s="65" t="s">
        <v>83</v>
      </c>
    </row>
    <row r="22" spans="1:5" ht="15" customHeight="1" x14ac:dyDescent="0.2">
      <c r="A22" s="65" t="s">
        <v>74</v>
      </c>
      <c r="B22" s="65" t="s">
        <v>84</v>
      </c>
      <c r="C22" s="83" t="s">
        <v>85</v>
      </c>
      <c r="D22" s="65"/>
      <c r="E22" s="65" t="s">
        <v>86</v>
      </c>
    </row>
    <row r="23" spans="1:5" ht="15" customHeight="1" x14ac:dyDescent="0.2">
      <c r="A23" s="65" t="s">
        <v>74</v>
      </c>
      <c r="B23" s="65" t="s">
        <v>87</v>
      </c>
      <c r="C23" s="83" t="s">
        <v>88</v>
      </c>
      <c r="D23" s="65"/>
      <c r="E23" s="65" t="s">
        <v>89</v>
      </c>
    </row>
    <row r="24" spans="1:5" ht="15" customHeight="1" x14ac:dyDescent="0.2">
      <c r="A24" s="65" t="s">
        <v>74</v>
      </c>
      <c r="B24" s="65" t="s">
        <v>90</v>
      </c>
      <c r="C24" s="83" t="s">
        <v>91</v>
      </c>
      <c r="D24" s="65"/>
      <c r="E24" s="65" t="s">
        <v>92</v>
      </c>
    </row>
    <row r="25" spans="1:5" s="85" customFormat="1" ht="15" customHeight="1" x14ac:dyDescent="0.2"/>
    <row r="26" spans="1:5" ht="15" customHeight="1" x14ac:dyDescent="0.2">
      <c r="A26" s="65" t="s">
        <v>93</v>
      </c>
      <c r="B26" s="65" t="s">
        <v>94</v>
      </c>
      <c r="C26" s="87">
        <v>185000</v>
      </c>
      <c r="D26" s="65" t="s">
        <v>95</v>
      </c>
      <c r="E26" s="88" t="s">
        <v>96</v>
      </c>
    </row>
    <row r="27" spans="1:5" ht="15" customHeight="1" x14ac:dyDescent="0.2">
      <c r="A27" s="65" t="s">
        <v>93</v>
      </c>
      <c r="B27" s="65" t="s">
        <v>97</v>
      </c>
      <c r="C27" s="83" t="s">
        <v>98</v>
      </c>
      <c r="D27" s="65" t="s">
        <v>99</v>
      </c>
      <c r="E27" s="88" t="s">
        <v>100</v>
      </c>
    </row>
    <row r="28" spans="1:5" ht="15.75" customHeight="1" x14ac:dyDescent="0.2">
      <c r="A28" s="45" t="s">
        <v>93</v>
      </c>
      <c r="B28" s="45" t="s">
        <v>101</v>
      </c>
      <c r="C28" s="45" t="s">
        <v>102</v>
      </c>
    </row>
    <row r="29" spans="1:5" s="89" customFormat="1" x14ac:dyDescent="0.2"/>
    <row r="30" spans="1:5" ht="15.75" customHeight="1" x14ac:dyDescent="0.2">
      <c r="A30" s="45" t="s">
        <v>103</v>
      </c>
      <c r="B30" s="45" t="s">
        <v>104</v>
      </c>
      <c r="C30" s="45">
        <v>12</v>
      </c>
      <c r="D30" s="45" t="s">
        <v>105</v>
      </c>
    </row>
    <row r="31" spans="1:5" ht="15.75" customHeight="1" x14ac:dyDescent="0.2">
      <c r="A31" s="45" t="s">
        <v>103</v>
      </c>
      <c r="B31" s="45" t="s">
        <v>106</v>
      </c>
      <c r="C31" s="45">
        <v>4000</v>
      </c>
      <c r="D31" s="45" t="s">
        <v>107</v>
      </c>
    </row>
    <row r="32" spans="1:5" ht="15" customHeight="1" x14ac:dyDescent="0.2">
      <c r="A32" s="45" t="s">
        <v>103</v>
      </c>
      <c r="B32" s="45" t="s">
        <v>108</v>
      </c>
      <c r="C32" s="45">
        <v>0.37</v>
      </c>
      <c r="D32" s="45" t="s">
        <v>109</v>
      </c>
    </row>
    <row r="33" spans="1:4" ht="15.75" customHeight="1" x14ac:dyDescent="0.2">
      <c r="A33" s="45" t="s">
        <v>103</v>
      </c>
      <c r="B33" s="45" t="s">
        <v>110</v>
      </c>
      <c r="C33" s="45">
        <v>360</v>
      </c>
      <c r="D33" s="45" t="s">
        <v>111</v>
      </c>
    </row>
    <row r="34" spans="1:4" s="89" customFormat="1" ht="15" customHeight="1" x14ac:dyDescent="0.2"/>
    <row r="35" spans="1:4" ht="15.75" customHeight="1" x14ac:dyDescent="0.2">
      <c r="A35" s="45" t="s">
        <v>112</v>
      </c>
      <c r="B35" s="45" t="s">
        <v>113</v>
      </c>
      <c r="C35" s="45">
        <v>0.7</v>
      </c>
      <c r="D35" s="45" t="s">
        <v>114</v>
      </c>
    </row>
    <row r="36" spans="1:4" ht="15.75" customHeight="1" x14ac:dyDescent="0.2">
      <c r="A36" s="45" t="s">
        <v>112</v>
      </c>
      <c r="B36" s="45" t="s">
        <v>115</v>
      </c>
      <c r="C36" s="45">
        <v>1.3</v>
      </c>
      <c r="D36" s="45" t="s">
        <v>116</v>
      </c>
    </row>
    <row r="37" spans="1:4" ht="15.75" customHeight="1" x14ac:dyDescent="0.2">
      <c r="A37" s="45" t="s">
        <v>112</v>
      </c>
      <c r="B37" s="45" t="s">
        <v>117</v>
      </c>
      <c r="C37" s="45">
        <v>1.1000000000000001</v>
      </c>
      <c r="D37" s="45" t="s">
        <v>116</v>
      </c>
    </row>
    <row r="38" spans="1:4" ht="15.75" customHeight="1" x14ac:dyDescent="0.2">
      <c r="A38" s="45" t="s">
        <v>112</v>
      </c>
      <c r="B38" s="45" t="s">
        <v>118</v>
      </c>
      <c r="C38" s="45">
        <v>0.9</v>
      </c>
      <c r="D38" s="45" t="s">
        <v>119</v>
      </c>
    </row>
    <row r="39" spans="1:4" ht="15.75" customHeight="1" x14ac:dyDescent="0.2">
      <c r="A39" s="45" t="s">
        <v>112</v>
      </c>
      <c r="B39" s="45" t="s">
        <v>120</v>
      </c>
      <c r="C39" s="45" t="s">
        <v>121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7"/>
  <sheetViews>
    <sheetView tabSelected="1" topLeftCell="A85" zoomScale="75" zoomScaleNormal="75" workbookViewId="0">
      <selection activeCell="A91" sqref="A91"/>
    </sheetView>
  </sheetViews>
  <sheetFormatPr baseColWidth="10" defaultColWidth="10.83203125" defaultRowHeight="18" x14ac:dyDescent="0.2"/>
  <cols>
    <col min="1" max="1" width="96.1640625" style="2" customWidth="1"/>
    <col min="2" max="2" width="19.6640625" style="3" customWidth="1"/>
    <col min="3" max="3" width="16.33203125" style="2" customWidth="1"/>
    <col min="4" max="4" width="16.83203125" style="2" customWidth="1"/>
    <col min="5" max="5" width="15.33203125" style="2" customWidth="1"/>
    <col min="6" max="6" width="16.6640625" style="2" customWidth="1"/>
    <col min="7" max="7" width="16.33203125" style="2" customWidth="1"/>
    <col min="8" max="8" width="15.83203125" style="2" customWidth="1"/>
    <col min="9" max="9" width="18.6640625" style="2" customWidth="1"/>
    <col min="10" max="10" width="19.83203125" style="2" customWidth="1"/>
    <col min="11" max="11" width="15.1640625" style="2" customWidth="1"/>
    <col min="12" max="12" width="16.6640625" style="2" customWidth="1"/>
    <col min="13" max="13" width="19.33203125" style="2" customWidth="1"/>
    <col min="14" max="14" width="52.33203125" style="1" customWidth="1"/>
    <col min="15" max="15" width="36.83203125" style="1" customWidth="1"/>
    <col min="16" max="16" width="35.5" style="1" customWidth="1"/>
    <col min="17" max="17" width="10.83203125" style="2" customWidth="1"/>
    <col min="18" max="16384" width="10.83203125" style="2"/>
  </cols>
  <sheetData>
    <row r="1" spans="1:20" s="6" customFormat="1" ht="19.5" customHeight="1" x14ac:dyDescent="0.2">
      <c r="A1" s="4" t="s">
        <v>122</v>
      </c>
      <c r="B1" s="5"/>
      <c r="N1" s="7"/>
      <c r="O1" s="8"/>
      <c r="P1" s="8"/>
    </row>
    <row r="2" spans="1:20" s="6" customFormat="1" ht="19.5" customHeight="1" x14ac:dyDescent="0.2">
      <c r="B2" s="101" t="s">
        <v>1</v>
      </c>
      <c r="C2" s="102"/>
      <c r="D2" s="102"/>
      <c r="E2" s="102"/>
      <c r="F2" s="101" t="s">
        <v>2</v>
      </c>
      <c r="G2" s="102"/>
      <c r="H2" s="102"/>
      <c r="I2" s="102"/>
      <c r="J2" s="101" t="s">
        <v>3</v>
      </c>
      <c r="K2" s="102"/>
      <c r="L2" s="102"/>
      <c r="M2" s="102"/>
      <c r="N2" s="8" t="s">
        <v>123</v>
      </c>
      <c r="O2" s="8"/>
      <c r="P2" s="9"/>
    </row>
    <row r="3" spans="1:20" s="4" customFormat="1" ht="19.5" customHeight="1" x14ac:dyDescent="0.2">
      <c r="B3" s="10" t="s">
        <v>4</v>
      </c>
      <c r="C3" s="4" t="s">
        <v>5</v>
      </c>
      <c r="D3" s="4" t="s">
        <v>6</v>
      </c>
      <c r="E3" s="4" t="s">
        <v>7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4</v>
      </c>
      <c r="K3" s="4" t="s">
        <v>5</v>
      </c>
      <c r="L3" s="4" t="s">
        <v>6</v>
      </c>
      <c r="M3" s="4" t="s">
        <v>7</v>
      </c>
      <c r="N3" s="9"/>
      <c r="O3" s="9"/>
    </row>
    <row r="4" spans="1:20" ht="19.5" customHeight="1" x14ac:dyDescent="0.2">
      <c r="A4" s="4" t="s">
        <v>124</v>
      </c>
    </row>
    <row r="5" spans="1:20" ht="18" customHeight="1" x14ac:dyDescent="0.2">
      <c r="A5" s="11" t="s">
        <v>125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20" ht="18" customHeight="1" x14ac:dyDescent="0.2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20" s="16" customFormat="1" ht="18" customHeight="1" x14ac:dyDescent="0.2">
      <c r="A7" s="13" t="s">
        <v>126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  <c r="O7" s="1"/>
      <c r="P7" s="1"/>
      <c r="Q7" s="2"/>
      <c r="R7" s="2"/>
      <c r="S7" s="2"/>
      <c r="T7" s="2"/>
    </row>
    <row r="8" spans="1:20" ht="18" customHeight="1" x14ac:dyDescent="0.2">
      <c r="A8" s="17" t="s">
        <v>127</v>
      </c>
      <c r="B8" s="12">
        <v>750</v>
      </c>
      <c r="C8" s="12">
        <v>750</v>
      </c>
      <c r="D8" s="12">
        <v>750</v>
      </c>
      <c r="E8" s="12">
        <v>750</v>
      </c>
      <c r="F8" s="12">
        <v>750</v>
      </c>
      <c r="G8" s="12">
        <v>750</v>
      </c>
      <c r="H8" s="12">
        <v>750</v>
      </c>
      <c r="I8" s="12">
        <v>750</v>
      </c>
      <c r="J8" s="12">
        <v>750</v>
      </c>
      <c r="K8" s="12">
        <v>750</v>
      </c>
      <c r="L8" s="12">
        <v>750</v>
      </c>
      <c r="M8" s="12">
        <v>750</v>
      </c>
    </row>
    <row r="9" spans="1:20" ht="18.75" customHeight="1" x14ac:dyDescent="0.2">
      <c r="A9" s="17" t="s">
        <v>128</v>
      </c>
      <c r="B9" s="18">
        <v>15</v>
      </c>
      <c r="C9" s="18">
        <v>15</v>
      </c>
      <c r="D9" s="18">
        <v>15</v>
      </c>
      <c r="E9" s="18">
        <v>15</v>
      </c>
      <c r="F9" s="18">
        <v>15</v>
      </c>
      <c r="G9" s="18">
        <v>15</v>
      </c>
      <c r="H9" s="18">
        <v>15</v>
      </c>
      <c r="I9" s="18">
        <v>15</v>
      </c>
      <c r="J9" s="18">
        <v>15</v>
      </c>
      <c r="K9" s="18">
        <v>15</v>
      </c>
      <c r="L9" s="18">
        <v>15</v>
      </c>
      <c r="M9" s="18">
        <v>15</v>
      </c>
      <c r="N9" s="1" t="s">
        <v>129</v>
      </c>
    </row>
    <row r="10" spans="1:20" ht="37.5" customHeight="1" x14ac:dyDescent="0.2">
      <c r="A10" s="17" t="s">
        <v>130</v>
      </c>
      <c r="B10" s="19">
        <v>20</v>
      </c>
      <c r="C10" s="19">
        <v>20</v>
      </c>
      <c r="D10" s="19">
        <v>30</v>
      </c>
      <c r="E10" s="19">
        <v>40</v>
      </c>
      <c r="F10" s="20">
        <v>45</v>
      </c>
      <c r="G10" s="20">
        <v>50</v>
      </c>
      <c r="H10" s="20">
        <v>60</v>
      </c>
      <c r="I10" s="20">
        <v>80</v>
      </c>
      <c r="J10" s="20">
        <v>100</v>
      </c>
      <c r="K10" s="20">
        <v>120</v>
      </c>
      <c r="L10" s="20">
        <v>160</v>
      </c>
      <c r="M10" s="20">
        <v>180</v>
      </c>
    </row>
    <row r="11" spans="1:20" ht="18.75" customHeight="1" x14ac:dyDescent="0.2">
      <c r="A11" s="17" t="s">
        <v>131</v>
      </c>
      <c r="B11" s="18">
        <v>15</v>
      </c>
      <c r="C11" s="18">
        <v>15</v>
      </c>
      <c r="D11" s="18">
        <v>15</v>
      </c>
      <c r="E11" s="18">
        <v>15</v>
      </c>
      <c r="F11" s="18">
        <v>15</v>
      </c>
      <c r="G11" s="18">
        <v>15</v>
      </c>
      <c r="H11" s="18">
        <v>15</v>
      </c>
      <c r="I11" s="18">
        <v>15</v>
      </c>
      <c r="J11" s="18">
        <v>15</v>
      </c>
      <c r="K11" s="18">
        <v>15</v>
      </c>
      <c r="L11" s="18">
        <v>15</v>
      </c>
      <c r="M11" s="18">
        <v>15</v>
      </c>
      <c r="N11" s="1" t="s">
        <v>129</v>
      </c>
    </row>
    <row r="12" spans="1:20" ht="18" customHeight="1" x14ac:dyDescent="0.2">
      <c r="A12" s="17" t="s">
        <v>132</v>
      </c>
      <c r="B12" s="19">
        <f t="shared" ref="B12:M12" si="0">B10/2</f>
        <v>10</v>
      </c>
      <c r="C12" s="19">
        <f t="shared" si="0"/>
        <v>10</v>
      </c>
      <c r="D12" s="19">
        <f t="shared" si="0"/>
        <v>15</v>
      </c>
      <c r="E12" s="19">
        <f t="shared" si="0"/>
        <v>20</v>
      </c>
      <c r="F12" s="19">
        <f t="shared" si="0"/>
        <v>22.5</v>
      </c>
      <c r="G12" s="19">
        <f t="shared" si="0"/>
        <v>25</v>
      </c>
      <c r="H12" s="19">
        <f t="shared" si="0"/>
        <v>30</v>
      </c>
      <c r="I12" s="19">
        <f t="shared" si="0"/>
        <v>40</v>
      </c>
      <c r="J12" s="19">
        <f t="shared" si="0"/>
        <v>50</v>
      </c>
      <c r="K12" s="19">
        <f t="shared" si="0"/>
        <v>60</v>
      </c>
      <c r="L12" s="19">
        <f t="shared" si="0"/>
        <v>80</v>
      </c>
      <c r="M12" s="19">
        <f t="shared" si="0"/>
        <v>90</v>
      </c>
    </row>
    <row r="13" spans="1:20" ht="21" customHeight="1" x14ac:dyDescent="0.2">
      <c r="A13" s="21" t="s">
        <v>133</v>
      </c>
      <c r="B13" s="18">
        <f t="shared" ref="B13:G13" si="1">SUM(B8,PRODUCT(B9,B10),PRODUCT(B11,B12))</f>
        <v>1200</v>
      </c>
      <c r="C13" s="22">
        <f t="shared" si="1"/>
        <v>1200</v>
      </c>
      <c r="D13" s="22">
        <f t="shared" si="1"/>
        <v>1425</v>
      </c>
      <c r="E13" s="22">
        <f t="shared" si="1"/>
        <v>1650</v>
      </c>
      <c r="F13" s="22">
        <f t="shared" si="1"/>
        <v>1762.5</v>
      </c>
      <c r="G13" s="22">
        <f t="shared" si="1"/>
        <v>1875</v>
      </c>
      <c r="H13" s="22">
        <f t="shared" ref="H13:M13" si="2">SUM(PRODUCT(H9,H10),PRODUCT(H11,H12),SUM(H8))</f>
        <v>2100</v>
      </c>
      <c r="I13" s="22">
        <f t="shared" si="2"/>
        <v>2550</v>
      </c>
      <c r="J13" s="22">
        <f t="shared" si="2"/>
        <v>3000</v>
      </c>
      <c r="K13" s="22">
        <f t="shared" si="2"/>
        <v>3450</v>
      </c>
      <c r="L13" s="22">
        <f t="shared" si="2"/>
        <v>4350</v>
      </c>
      <c r="M13" s="22">
        <f t="shared" si="2"/>
        <v>4800</v>
      </c>
    </row>
    <row r="14" spans="1:20" ht="18" customHeight="1" x14ac:dyDescent="0.2">
      <c r="A14" s="99" t="s">
        <v>134</v>
      </c>
      <c r="B14" s="94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</row>
    <row r="15" spans="1:20" ht="18" customHeight="1" x14ac:dyDescent="0.2">
      <c r="A15" s="17" t="s">
        <v>135</v>
      </c>
      <c r="B15" s="12">
        <v>99</v>
      </c>
      <c r="C15" s="12">
        <v>99</v>
      </c>
      <c r="D15" s="12">
        <v>99</v>
      </c>
      <c r="E15" s="12">
        <v>99</v>
      </c>
      <c r="F15" s="12">
        <v>99</v>
      </c>
      <c r="G15" s="12">
        <v>99</v>
      </c>
      <c r="H15" s="12">
        <v>99</v>
      </c>
      <c r="I15" s="12">
        <v>99</v>
      </c>
      <c r="J15" s="12">
        <v>99</v>
      </c>
      <c r="K15" s="12">
        <v>99</v>
      </c>
      <c r="L15" s="12">
        <v>99</v>
      </c>
      <c r="M15" s="12">
        <v>99</v>
      </c>
    </row>
    <row r="16" spans="1:20" ht="18.75" customHeight="1" x14ac:dyDescent="0.2">
      <c r="A16" s="17" t="s">
        <v>136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3</v>
      </c>
      <c r="I16" s="12">
        <v>4</v>
      </c>
      <c r="J16" s="12">
        <v>5</v>
      </c>
      <c r="K16" s="12">
        <v>7</v>
      </c>
      <c r="L16" s="12">
        <v>9</v>
      </c>
      <c r="M16" s="12">
        <v>15</v>
      </c>
    </row>
    <row r="17" spans="1:19" ht="18" customHeight="1" x14ac:dyDescent="0.2">
      <c r="A17" s="17" t="s">
        <v>137</v>
      </c>
      <c r="B17" s="12">
        <v>150</v>
      </c>
      <c r="C17" s="12">
        <v>150</v>
      </c>
      <c r="D17" s="12">
        <v>150</v>
      </c>
      <c r="E17" s="12">
        <v>150</v>
      </c>
      <c r="F17" s="12">
        <v>150</v>
      </c>
      <c r="G17" s="12">
        <v>150</v>
      </c>
      <c r="H17" s="12">
        <v>150</v>
      </c>
      <c r="I17" s="12">
        <v>150</v>
      </c>
      <c r="J17" s="12">
        <v>150</v>
      </c>
      <c r="K17" s="12">
        <v>150</v>
      </c>
      <c r="L17" s="12">
        <v>150</v>
      </c>
      <c r="M17" s="12">
        <v>150</v>
      </c>
    </row>
    <row r="18" spans="1:19" ht="18.75" customHeight="1" x14ac:dyDescent="0.2">
      <c r="A18" s="17" t="s">
        <v>136</v>
      </c>
      <c r="B18" s="12">
        <v>0</v>
      </c>
      <c r="C18" s="12">
        <v>0</v>
      </c>
      <c r="D18" s="12">
        <v>0</v>
      </c>
      <c r="E18" s="12">
        <v>0</v>
      </c>
      <c r="F18" s="12">
        <f t="shared" ref="F18:M18" si="3">F16/2</f>
        <v>0</v>
      </c>
      <c r="G18" s="12">
        <f t="shared" si="3"/>
        <v>0</v>
      </c>
      <c r="H18" s="12">
        <f t="shared" si="3"/>
        <v>1.5</v>
      </c>
      <c r="I18" s="12">
        <f t="shared" si="3"/>
        <v>2</v>
      </c>
      <c r="J18" s="12">
        <f t="shared" si="3"/>
        <v>2.5</v>
      </c>
      <c r="K18" s="12">
        <f t="shared" si="3"/>
        <v>3.5</v>
      </c>
      <c r="L18" s="12">
        <f t="shared" si="3"/>
        <v>4.5</v>
      </c>
      <c r="M18" s="12">
        <f t="shared" si="3"/>
        <v>7.5</v>
      </c>
      <c r="N18" s="1" t="s">
        <v>138</v>
      </c>
    </row>
    <row r="19" spans="1:19" ht="18" customHeight="1" x14ac:dyDescent="0.2">
      <c r="A19" s="21" t="s">
        <v>139</v>
      </c>
      <c r="B19" s="12">
        <f t="shared" ref="B19:M19" si="4">SUM(PRODUCT(B15,B16),PRODUCT(B17,B18))</f>
        <v>0</v>
      </c>
      <c r="C19" s="12">
        <f t="shared" si="4"/>
        <v>0</v>
      </c>
      <c r="D19" s="12">
        <f t="shared" si="4"/>
        <v>0</v>
      </c>
      <c r="E19" s="12">
        <f t="shared" si="4"/>
        <v>0</v>
      </c>
      <c r="F19" s="12">
        <f t="shared" si="4"/>
        <v>0</v>
      </c>
      <c r="G19" s="12">
        <f t="shared" si="4"/>
        <v>0</v>
      </c>
      <c r="H19" s="12">
        <f t="shared" si="4"/>
        <v>522</v>
      </c>
      <c r="I19" s="12">
        <f t="shared" si="4"/>
        <v>696</v>
      </c>
      <c r="J19" s="12">
        <f t="shared" si="4"/>
        <v>870</v>
      </c>
      <c r="K19" s="12">
        <f t="shared" si="4"/>
        <v>1218</v>
      </c>
      <c r="L19" s="12">
        <f t="shared" si="4"/>
        <v>1566</v>
      </c>
      <c r="M19" s="12">
        <f t="shared" si="4"/>
        <v>2610</v>
      </c>
    </row>
    <row r="20" spans="1:19" ht="21" customHeight="1" x14ac:dyDescent="0.2">
      <c r="A20" s="11" t="s">
        <v>140</v>
      </c>
      <c r="B20" s="22">
        <f t="shared" ref="B20:M20" si="5">SUM(B19,B13)</f>
        <v>1200</v>
      </c>
      <c r="C20" s="22">
        <f t="shared" si="5"/>
        <v>1200</v>
      </c>
      <c r="D20" s="22">
        <f t="shared" si="5"/>
        <v>1425</v>
      </c>
      <c r="E20" s="22">
        <f t="shared" si="5"/>
        <v>1650</v>
      </c>
      <c r="F20" s="22">
        <f t="shared" si="5"/>
        <v>1762.5</v>
      </c>
      <c r="G20" s="22">
        <f t="shared" si="5"/>
        <v>1875</v>
      </c>
      <c r="H20" s="22">
        <f t="shared" si="5"/>
        <v>2622</v>
      </c>
      <c r="I20" s="22">
        <f t="shared" si="5"/>
        <v>3246</v>
      </c>
      <c r="J20" s="22">
        <f t="shared" si="5"/>
        <v>3870</v>
      </c>
      <c r="K20" s="22">
        <f t="shared" si="5"/>
        <v>4668</v>
      </c>
      <c r="L20" s="22">
        <f t="shared" si="5"/>
        <v>5916</v>
      </c>
      <c r="M20" s="22">
        <f t="shared" si="5"/>
        <v>7410</v>
      </c>
    </row>
    <row r="21" spans="1:19" ht="18" customHeight="1" x14ac:dyDescent="0.2">
      <c r="A21" s="11"/>
      <c r="B21" s="1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9" s="16" customFormat="1" ht="18" customHeight="1" x14ac:dyDescent="0.2">
      <c r="A22" s="13" t="s">
        <v>141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5"/>
      <c r="O22" s="1"/>
      <c r="P22" s="1"/>
      <c r="Q22" s="2"/>
      <c r="R22" s="2"/>
      <c r="S22" s="2"/>
    </row>
    <row r="23" spans="1:19" ht="18" customHeight="1" x14ac:dyDescent="0.2">
      <c r="A23" s="17" t="s">
        <v>142</v>
      </c>
      <c r="B23" s="12">
        <v>1250</v>
      </c>
      <c r="C23" s="12">
        <v>1250</v>
      </c>
      <c r="D23" s="12">
        <v>1250</v>
      </c>
      <c r="E23" s="12">
        <v>1250</v>
      </c>
      <c r="F23" s="12">
        <v>1250</v>
      </c>
      <c r="G23" s="12">
        <v>1250</v>
      </c>
      <c r="H23" s="12">
        <v>1250</v>
      </c>
      <c r="I23" s="12">
        <v>1250</v>
      </c>
      <c r="J23" s="12">
        <v>1250</v>
      </c>
      <c r="K23" s="12">
        <v>1100</v>
      </c>
      <c r="L23" s="12">
        <v>1100</v>
      </c>
      <c r="M23" s="12">
        <v>1100</v>
      </c>
    </row>
    <row r="24" spans="1:19" ht="18" customHeight="1" x14ac:dyDescent="0.2">
      <c r="A24" s="17" t="s">
        <v>143</v>
      </c>
      <c r="B24" s="12">
        <v>12</v>
      </c>
      <c r="C24" s="12">
        <v>12</v>
      </c>
      <c r="D24" s="12">
        <v>12</v>
      </c>
      <c r="E24" s="12">
        <v>12</v>
      </c>
      <c r="F24" s="12">
        <v>12</v>
      </c>
      <c r="G24" s="12">
        <v>12</v>
      </c>
      <c r="H24" s="12">
        <v>12</v>
      </c>
      <c r="I24" s="12">
        <v>12</v>
      </c>
      <c r="J24" s="12">
        <v>12</v>
      </c>
      <c r="K24" s="12">
        <v>12</v>
      </c>
      <c r="L24" s="12">
        <v>12</v>
      </c>
      <c r="M24" s="12">
        <v>12</v>
      </c>
    </row>
    <row r="25" spans="1:19" ht="37.5" customHeight="1" x14ac:dyDescent="0.2">
      <c r="A25" s="17" t="s">
        <v>130</v>
      </c>
      <c r="B25" s="20">
        <v>20</v>
      </c>
      <c r="C25" s="20">
        <f>ROUND(B25*(1-'Key Assumptions'!C16)+0,0)</f>
        <v>19</v>
      </c>
      <c r="D25" s="20">
        <f>ROUND(C25*(1-'Key Assumptions'!C16)+0,0)</f>
        <v>18</v>
      </c>
      <c r="E25" s="20">
        <f>ROUND(D25*(1-'Key Assumptions'!C16)+20,0)</f>
        <v>37</v>
      </c>
      <c r="F25" s="20">
        <f>ROUND(E25*(1-'Key Assumptions'!C16)+20,0)</f>
        <v>55</v>
      </c>
      <c r="G25" s="20">
        <f>ROUND(F25*(1-'Key Assumptions'!C16)+20,0)</f>
        <v>72</v>
      </c>
      <c r="H25" s="20">
        <f>ROUND(G25*(1-'Key Assumptions'!C16)+20,0)</f>
        <v>88</v>
      </c>
      <c r="I25" s="20">
        <f>ROUND(H25*(1-'Key Assumptions'!C16)+20,0)</f>
        <v>104</v>
      </c>
      <c r="J25" s="20">
        <f>ROUND(I25*(1-'Key Assumptions'!C16)+40,0)</f>
        <v>139</v>
      </c>
      <c r="K25" s="20">
        <f>ROUND(J25*(1-'Key Assumptions'!C16)+40,0)</f>
        <v>172</v>
      </c>
      <c r="L25" s="20">
        <f>ROUND(K25*(1-'Key Assumptions'!C16)+60,0)</f>
        <v>223</v>
      </c>
      <c r="M25" s="20">
        <f>ROUND(L25*(1-'Key Assumptions'!C16)+80,0)</f>
        <v>292</v>
      </c>
    </row>
    <row r="26" spans="1:19" ht="18.75" customHeight="1" x14ac:dyDescent="0.2">
      <c r="A26" s="17" t="s">
        <v>144</v>
      </c>
      <c r="B26" s="12">
        <v>12</v>
      </c>
      <c r="C26" s="12">
        <v>12</v>
      </c>
      <c r="D26" s="12">
        <v>12</v>
      </c>
      <c r="E26" s="12">
        <v>12</v>
      </c>
      <c r="F26" s="12">
        <v>12</v>
      </c>
      <c r="G26" s="12">
        <v>12</v>
      </c>
      <c r="H26" s="12">
        <v>12</v>
      </c>
      <c r="I26" s="12">
        <v>12</v>
      </c>
      <c r="J26" s="12">
        <v>12</v>
      </c>
      <c r="K26" s="12">
        <v>11</v>
      </c>
      <c r="L26" s="12">
        <v>11</v>
      </c>
      <c r="M26" s="12">
        <v>11</v>
      </c>
    </row>
    <row r="27" spans="1:19" ht="18" customHeight="1" x14ac:dyDescent="0.2">
      <c r="A27" s="21" t="s">
        <v>133</v>
      </c>
      <c r="B27" s="12">
        <f t="shared" ref="B27:M27" si="6">SUM(B23,(PRODUCT(B24,B25)),(PRODUCT(B25,B26)))</f>
        <v>1730</v>
      </c>
      <c r="C27" s="12">
        <f t="shared" si="6"/>
        <v>1706</v>
      </c>
      <c r="D27" s="12">
        <f t="shared" si="6"/>
        <v>1682</v>
      </c>
      <c r="E27" s="12">
        <f t="shared" si="6"/>
        <v>2138</v>
      </c>
      <c r="F27" s="12">
        <f t="shared" si="6"/>
        <v>2570</v>
      </c>
      <c r="G27" s="12">
        <f t="shared" si="6"/>
        <v>2978</v>
      </c>
      <c r="H27" s="12">
        <f t="shared" si="6"/>
        <v>3362</v>
      </c>
      <c r="I27" s="12">
        <f t="shared" si="6"/>
        <v>3746</v>
      </c>
      <c r="J27" s="12">
        <f t="shared" si="6"/>
        <v>4586</v>
      </c>
      <c r="K27" s="12">
        <f t="shared" si="6"/>
        <v>5056</v>
      </c>
      <c r="L27" s="12">
        <f t="shared" si="6"/>
        <v>6229</v>
      </c>
      <c r="M27" s="12">
        <f t="shared" si="6"/>
        <v>7816</v>
      </c>
    </row>
    <row r="28" spans="1:19" ht="18" customHeight="1" x14ac:dyDescent="0.2">
      <c r="A28" s="99" t="s">
        <v>134</v>
      </c>
      <c r="B28" s="94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</row>
    <row r="29" spans="1:19" ht="18" customHeight="1" x14ac:dyDescent="0.2">
      <c r="A29" s="17" t="s">
        <v>145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</row>
    <row r="30" spans="1:19" ht="18" customHeight="1" x14ac:dyDescent="0.2">
      <c r="A30" s="17" t="s">
        <v>137</v>
      </c>
      <c r="B30" s="12">
        <v>150</v>
      </c>
      <c r="C30" s="12">
        <v>150</v>
      </c>
      <c r="D30" s="12">
        <v>150</v>
      </c>
      <c r="E30" s="12">
        <v>150</v>
      </c>
      <c r="F30" s="12">
        <v>150</v>
      </c>
      <c r="G30" s="12">
        <v>150</v>
      </c>
      <c r="H30" s="12">
        <v>150</v>
      </c>
      <c r="I30" s="12">
        <v>150</v>
      </c>
      <c r="J30" s="12">
        <v>150</v>
      </c>
      <c r="K30" s="12">
        <v>150</v>
      </c>
      <c r="L30" s="12">
        <v>150</v>
      </c>
      <c r="M30" s="12">
        <v>150</v>
      </c>
    </row>
    <row r="31" spans="1:19" ht="18.75" customHeight="1" x14ac:dyDescent="0.2">
      <c r="A31" s="17" t="s">
        <v>137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3</v>
      </c>
      <c r="I31" s="12">
        <v>4</v>
      </c>
      <c r="J31" s="12">
        <v>5</v>
      </c>
      <c r="K31" s="12">
        <v>7</v>
      </c>
      <c r="L31" s="12">
        <v>9</v>
      </c>
      <c r="M31" s="12">
        <v>15</v>
      </c>
    </row>
    <row r="32" spans="1:19" ht="18" customHeight="1" x14ac:dyDescent="0.2">
      <c r="A32" s="21" t="s">
        <v>139</v>
      </c>
      <c r="B32" s="12">
        <f t="shared" ref="B32:M32" si="7">PRODUCT(B30,B31)</f>
        <v>0</v>
      </c>
      <c r="C32" s="12">
        <f t="shared" si="7"/>
        <v>0</v>
      </c>
      <c r="D32" s="12">
        <f t="shared" si="7"/>
        <v>0</v>
      </c>
      <c r="E32" s="12">
        <f t="shared" si="7"/>
        <v>0</v>
      </c>
      <c r="F32" s="12">
        <f t="shared" si="7"/>
        <v>0</v>
      </c>
      <c r="G32" s="12">
        <f t="shared" si="7"/>
        <v>0</v>
      </c>
      <c r="H32" s="12">
        <f t="shared" si="7"/>
        <v>450</v>
      </c>
      <c r="I32" s="12">
        <f t="shared" si="7"/>
        <v>600</v>
      </c>
      <c r="J32" s="12">
        <f t="shared" si="7"/>
        <v>750</v>
      </c>
      <c r="K32" s="12">
        <f t="shared" si="7"/>
        <v>1050</v>
      </c>
      <c r="L32" s="12">
        <f t="shared" si="7"/>
        <v>1350</v>
      </c>
      <c r="M32" s="12">
        <f t="shared" si="7"/>
        <v>2250</v>
      </c>
    </row>
    <row r="33" spans="1:16" ht="21" customHeight="1" x14ac:dyDescent="0.2">
      <c r="A33" s="11" t="s">
        <v>146</v>
      </c>
      <c r="B33" s="22">
        <f t="shared" ref="B33:M33" si="8">SUM(B32+B27)</f>
        <v>1730</v>
      </c>
      <c r="C33" s="22">
        <f t="shared" si="8"/>
        <v>1706</v>
      </c>
      <c r="D33" s="22">
        <f t="shared" si="8"/>
        <v>1682</v>
      </c>
      <c r="E33" s="22">
        <f t="shared" si="8"/>
        <v>2138</v>
      </c>
      <c r="F33" s="22">
        <f t="shared" si="8"/>
        <v>2570</v>
      </c>
      <c r="G33" s="22">
        <f t="shared" si="8"/>
        <v>2978</v>
      </c>
      <c r="H33" s="22">
        <f t="shared" si="8"/>
        <v>3812</v>
      </c>
      <c r="I33" s="22">
        <f t="shared" si="8"/>
        <v>4346</v>
      </c>
      <c r="J33" s="22">
        <f t="shared" si="8"/>
        <v>5336</v>
      </c>
      <c r="K33" s="22">
        <f t="shared" si="8"/>
        <v>6106</v>
      </c>
      <c r="L33" s="22">
        <f t="shared" si="8"/>
        <v>7579</v>
      </c>
      <c r="M33" s="22">
        <f t="shared" si="8"/>
        <v>10066</v>
      </c>
    </row>
    <row r="34" spans="1:16" ht="18" customHeight="1" x14ac:dyDescent="0.2">
      <c r="A34" s="11"/>
      <c r="B34" s="1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spans="1:16" s="16" customFormat="1" ht="18" customHeight="1" x14ac:dyDescent="0.2">
      <c r="A35" s="13" t="s">
        <v>147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5"/>
      <c r="O35" s="15"/>
      <c r="P35" s="15"/>
    </row>
    <row r="36" spans="1:16" ht="37.5" customHeight="1" x14ac:dyDescent="0.2">
      <c r="A36" s="17" t="s">
        <v>148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5000</v>
      </c>
      <c r="H36" s="12">
        <v>5000</v>
      </c>
      <c r="I36" s="12">
        <v>5000</v>
      </c>
      <c r="J36" s="12">
        <v>5000</v>
      </c>
      <c r="K36" s="12">
        <v>10000</v>
      </c>
      <c r="L36" s="12">
        <v>10000</v>
      </c>
      <c r="M36" s="12">
        <v>10000</v>
      </c>
      <c r="N36" s="1" t="s">
        <v>149</v>
      </c>
    </row>
    <row r="37" spans="1:16" ht="18" customHeight="1" x14ac:dyDescent="0.2">
      <c r="A37" s="17" t="s">
        <v>128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12</v>
      </c>
      <c r="H37" s="12">
        <v>12</v>
      </c>
      <c r="I37" s="12">
        <v>12</v>
      </c>
      <c r="J37" s="12">
        <v>12</v>
      </c>
      <c r="K37" s="12">
        <v>12</v>
      </c>
      <c r="L37" s="12">
        <v>12</v>
      </c>
      <c r="M37" s="12">
        <v>12</v>
      </c>
    </row>
    <row r="38" spans="1:16" ht="18" customHeight="1" x14ac:dyDescent="0.2">
      <c r="A38" s="17" t="s">
        <v>150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30</v>
      </c>
      <c r="H38" s="20">
        <f>ROUND(G38*(1-'Key Assumptions'!C16)+0,0)</f>
        <v>29</v>
      </c>
      <c r="I38" s="20">
        <f>ROUND(H38*(1-'Key Assumptions'!C16)+0,0)</f>
        <v>28</v>
      </c>
      <c r="J38" s="20">
        <f>ROUND(I38*(1-'Key Assumptions'!C16)+30,0)</f>
        <v>57</v>
      </c>
      <c r="K38" s="20">
        <f>ROUND(J38*(1-'Key Assumptions'!C16)+30,0)</f>
        <v>84</v>
      </c>
      <c r="L38" s="20">
        <f>ROUND(K38*(1-'Key Assumptions'!C16)+0,0)</f>
        <v>80</v>
      </c>
      <c r="M38" s="20">
        <f>ROUND(L38*(1-'Key Assumptions'!C16)+0,0)</f>
        <v>76</v>
      </c>
    </row>
    <row r="39" spans="1:16" ht="18" customHeight="1" x14ac:dyDescent="0.2">
      <c r="A39" s="17" t="s">
        <v>131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10</v>
      </c>
      <c r="H39" s="12">
        <v>10</v>
      </c>
      <c r="I39" s="12">
        <v>10</v>
      </c>
      <c r="J39" s="12">
        <v>10</v>
      </c>
      <c r="K39" s="12">
        <v>9</v>
      </c>
      <c r="L39" s="12">
        <v>9</v>
      </c>
      <c r="M39" s="12">
        <v>9</v>
      </c>
    </row>
    <row r="40" spans="1:16" ht="18" customHeight="1" x14ac:dyDescent="0.2">
      <c r="A40" s="21" t="s">
        <v>133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f t="shared" ref="G40:M40" si="9">SUM(G36,PRODUCT(G37,G38),PRODUCT(G38,G39))</f>
        <v>5660</v>
      </c>
      <c r="H40" s="12">
        <f t="shared" si="9"/>
        <v>5638</v>
      </c>
      <c r="I40" s="12">
        <f t="shared" si="9"/>
        <v>5616</v>
      </c>
      <c r="J40" s="12">
        <f t="shared" si="9"/>
        <v>6254</v>
      </c>
      <c r="K40" s="12">
        <f t="shared" si="9"/>
        <v>11764</v>
      </c>
      <c r="L40" s="12">
        <f t="shared" si="9"/>
        <v>11680</v>
      </c>
      <c r="M40" s="12">
        <f t="shared" si="9"/>
        <v>11596</v>
      </c>
    </row>
    <row r="41" spans="1:16" ht="18" customHeight="1" x14ac:dyDescent="0.2">
      <c r="A41" s="104" t="s">
        <v>134</v>
      </c>
      <c r="B41" s="94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</row>
    <row r="42" spans="1:16" ht="18" customHeight="1" x14ac:dyDescent="0.2">
      <c r="A42" s="17" t="s">
        <v>145</v>
      </c>
      <c r="B42" s="17">
        <v>0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</row>
    <row r="43" spans="1:16" ht="18" customHeight="1" x14ac:dyDescent="0.2">
      <c r="A43" s="17" t="s">
        <v>137</v>
      </c>
      <c r="B43" s="17">
        <v>100</v>
      </c>
      <c r="C43" s="17">
        <v>100</v>
      </c>
      <c r="D43" s="17">
        <v>100</v>
      </c>
      <c r="E43" s="17">
        <v>100</v>
      </c>
      <c r="F43" s="17">
        <v>100</v>
      </c>
      <c r="G43" s="17">
        <v>100</v>
      </c>
      <c r="H43" s="17">
        <v>100</v>
      </c>
      <c r="I43" s="17">
        <v>100</v>
      </c>
      <c r="J43" s="17">
        <v>100</v>
      </c>
      <c r="K43" s="17">
        <v>100</v>
      </c>
      <c r="L43" s="17">
        <v>100</v>
      </c>
      <c r="M43" s="17">
        <v>100</v>
      </c>
    </row>
    <row r="44" spans="1:16" ht="18" customHeight="1" x14ac:dyDescent="0.2">
      <c r="A44" s="17" t="s">
        <v>136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0">
        <v>24</v>
      </c>
      <c r="H44" s="20">
        <v>32</v>
      </c>
      <c r="I44" s="20">
        <v>40</v>
      </c>
      <c r="J44" s="20">
        <v>48</v>
      </c>
      <c r="K44" s="20">
        <v>72</v>
      </c>
      <c r="L44" s="20">
        <v>80</v>
      </c>
      <c r="M44" s="20">
        <v>88</v>
      </c>
    </row>
    <row r="45" spans="1:16" ht="18" customHeight="1" x14ac:dyDescent="0.2">
      <c r="A45" s="17" t="s">
        <v>151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</row>
    <row r="46" spans="1:16" ht="37.5" customHeight="1" x14ac:dyDescent="0.2">
      <c r="A46" s="17" t="s">
        <v>152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2">
        <v>2000</v>
      </c>
      <c r="H46" s="12">
        <v>2000</v>
      </c>
      <c r="I46" s="12">
        <v>2000</v>
      </c>
      <c r="J46" s="12">
        <v>2000</v>
      </c>
      <c r="K46" s="12">
        <v>4000</v>
      </c>
      <c r="L46" s="12">
        <v>4000</v>
      </c>
      <c r="M46" s="12">
        <v>4000</v>
      </c>
    </row>
    <row r="47" spans="1:16" ht="18" customHeight="1" x14ac:dyDescent="0.2">
      <c r="A47" s="17" t="s">
        <v>153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1000</v>
      </c>
      <c r="H47" s="12">
        <v>1000</v>
      </c>
      <c r="I47" s="12">
        <v>1000</v>
      </c>
      <c r="J47" s="12">
        <v>1000</v>
      </c>
      <c r="K47" s="12">
        <v>2000</v>
      </c>
      <c r="L47" s="12">
        <v>2000</v>
      </c>
      <c r="M47" s="12">
        <v>2000</v>
      </c>
    </row>
    <row r="48" spans="1:16" ht="18" customHeight="1" x14ac:dyDescent="0.2">
      <c r="A48" s="17" t="s">
        <v>154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100</v>
      </c>
      <c r="H48" s="12">
        <v>100</v>
      </c>
      <c r="I48" s="12">
        <v>100</v>
      </c>
      <c r="J48" s="12">
        <v>100</v>
      </c>
      <c r="K48" s="12">
        <v>200</v>
      </c>
      <c r="L48" s="12">
        <v>200</v>
      </c>
      <c r="M48" s="12">
        <v>200</v>
      </c>
    </row>
    <row r="49" spans="1:16" ht="18" customHeight="1" x14ac:dyDescent="0.2">
      <c r="A49" s="21" t="s">
        <v>155</v>
      </c>
      <c r="B49" s="12">
        <f t="shared" ref="B49:M49" si="10">SUM(PRODUCT(B43,B44),B45,B46,B47,B48)</f>
        <v>0</v>
      </c>
      <c r="C49" s="12">
        <f t="shared" si="10"/>
        <v>0</v>
      </c>
      <c r="D49" s="12">
        <f t="shared" si="10"/>
        <v>0</v>
      </c>
      <c r="E49" s="12">
        <f t="shared" si="10"/>
        <v>0</v>
      </c>
      <c r="F49" s="12">
        <f t="shared" si="10"/>
        <v>0</v>
      </c>
      <c r="G49" s="12">
        <f t="shared" si="10"/>
        <v>5500</v>
      </c>
      <c r="H49" s="12">
        <f t="shared" si="10"/>
        <v>6300</v>
      </c>
      <c r="I49" s="12">
        <f t="shared" si="10"/>
        <v>7100</v>
      </c>
      <c r="J49" s="12">
        <f t="shared" si="10"/>
        <v>7900</v>
      </c>
      <c r="K49" s="12">
        <f t="shared" si="10"/>
        <v>13400</v>
      </c>
      <c r="L49" s="12">
        <f t="shared" si="10"/>
        <v>14200</v>
      </c>
      <c r="M49" s="12">
        <f t="shared" si="10"/>
        <v>15000</v>
      </c>
    </row>
    <row r="50" spans="1:16" ht="21" customHeight="1" x14ac:dyDescent="0.2">
      <c r="A50" s="11" t="s">
        <v>156</v>
      </c>
      <c r="B50" s="22">
        <f t="shared" ref="B50:M50" si="11">SUM(B40,B49)</f>
        <v>0</v>
      </c>
      <c r="C50" s="22">
        <f t="shared" si="11"/>
        <v>0</v>
      </c>
      <c r="D50" s="22">
        <f t="shared" si="11"/>
        <v>0</v>
      </c>
      <c r="E50" s="22">
        <f t="shared" si="11"/>
        <v>0</v>
      </c>
      <c r="F50" s="22">
        <f t="shared" si="11"/>
        <v>0</v>
      </c>
      <c r="G50" s="22">
        <f t="shared" si="11"/>
        <v>11160</v>
      </c>
      <c r="H50" s="22">
        <f t="shared" si="11"/>
        <v>11938</v>
      </c>
      <c r="I50" s="22">
        <f t="shared" si="11"/>
        <v>12716</v>
      </c>
      <c r="J50" s="22">
        <f t="shared" si="11"/>
        <v>14154</v>
      </c>
      <c r="K50" s="22">
        <f t="shared" si="11"/>
        <v>25164</v>
      </c>
      <c r="L50" s="22">
        <f t="shared" si="11"/>
        <v>25880</v>
      </c>
      <c r="M50" s="22">
        <f t="shared" si="11"/>
        <v>26596</v>
      </c>
    </row>
    <row r="51" spans="1:16" ht="18" customHeight="1" x14ac:dyDescent="0.2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6" ht="18" customHeight="1" x14ac:dyDescent="0.2">
      <c r="A52" s="17" t="s">
        <v>157</v>
      </c>
      <c r="B52" s="12">
        <f t="shared" ref="B52:M52" si="12">SUM(B50,B33,B20)</f>
        <v>2930</v>
      </c>
      <c r="C52" s="12">
        <f t="shared" si="12"/>
        <v>2906</v>
      </c>
      <c r="D52" s="12">
        <f t="shared" si="12"/>
        <v>3107</v>
      </c>
      <c r="E52" s="12">
        <f t="shared" si="12"/>
        <v>3788</v>
      </c>
      <c r="F52" s="12">
        <f t="shared" si="12"/>
        <v>4332.5</v>
      </c>
      <c r="G52" s="12">
        <f t="shared" si="12"/>
        <v>16013</v>
      </c>
      <c r="H52" s="12">
        <f t="shared" si="12"/>
        <v>18372</v>
      </c>
      <c r="I52" s="12">
        <f t="shared" si="12"/>
        <v>20308</v>
      </c>
      <c r="J52" s="12">
        <f t="shared" si="12"/>
        <v>23360</v>
      </c>
      <c r="K52" s="12">
        <f t="shared" si="12"/>
        <v>35938</v>
      </c>
      <c r="L52" s="12">
        <f t="shared" si="12"/>
        <v>39375</v>
      </c>
      <c r="M52" s="12">
        <f t="shared" si="12"/>
        <v>44072</v>
      </c>
    </row>
    <row r="53" spans="1:16" s="6" customFormat="1" ht="18" customHeight="1" x14ac:dyDescent="0.2">
      <c r="A53" s="17" t="s">
        <v>158</v>
      </c>
      <c r="B53" s="24"/>
      <c r="C53" s="25"/>
      <c r="D53" s="25"/>
      <c r="E53" s="26">
        <f>SUM(B52:E52)</f>
        <v>12731</v>
      </c>
      <c r="F53" s="25"/>
      <c r="G53" s="25"/>
      <c r="H53" s="25"/>
      <c r="I53" s="26">
        <f>SUM(F52:I52)</f>
        <v>59025.5</v>
      </c>
      <c r="J53" s="25"/>
      <c r="K53" s="25"/>
      <c r="L53" s="25"/>
      <c r="M53" s="26">
        <f>SUM(J52:M52)</f>
        <v>142745</v>
      </c>
      <c r="N53" s="8"/>
      <c r="O53" s="8"/>
      <c r="P53" s="8"/>
    </row>
    <row r="54" spans="1:16" ht="18" customHeight="1" x14ac:dyDescent="0.2">
      <c r="A54" s="21" t="s">
        <v>159</v>
      </c>
      <c r="B54" s="26">
        <f>SUM(B50:M50,B33:M33,B20:M20)</f>
        <v>214501.5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6" ht="18" customHeight="1" x14ac:dyDescent="0.2">
      <c r="A55" s="27" t="s">
        <v>436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6" ht="18" customHeight="1" x14ac:dyDescent="0.2">
      <c r="A56" s="28" t="s">
        <v>160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6" ht="18" customHeight="1" x14ac:dyDescent="0.2">
      <c r="A57" s="17" t="s">
        <v>161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6" ht="18" customHeight="1" x14ac:dyDescent="0.2">
      <c r="A58" s="17" t="s">
        <v>162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6" ht="18" customHeight="1" x14ac:dyDescent="0.2">
      <c r="A59" s="17" t="s">
        <v>163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16" ht="18" customHeight="1" x14ac:dyDescent="0.2">
      <c r="A60" s="17" t="s">
        <v>164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1:16" ht="18" customHeight="1" x14ac:dyDescent="0.2">
      <c r="A61" s="99" t="s">
        <v>165</v>
      </c>
      <c r="B61" s="94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</row>
    <row r="62" spans="1:16" ht="18" customHeight="1" x14ac:dyDescent="0.2">
      <c r="A62" s="17" t="s">
        <v>166</v>
      </c>
      <c r="B62" s="29">
        <v>0</v>
      </c>
      <c r="C62" s="29">
        <v>0</v>
      </c>
      <c r="D62" s="29">
        <v>20000</v>
      </c>
      <c r="E62" s="29">
        <v>0</v>
      </c>
      <c r="F62" s="29">
        <v>0</v>
      </c>
      <c r="G62" s="29">
        <v>50000</v>
      </c>
      <c r="H62" s="29">
        <v>0</v>
      </c>
      <c r="I62" s="29">
        <v>0</v>
      </c>
      <c r="J62" s="29">
        <v>10000</v>
      </c>
      <c r="K62" s="29">
        <v>0</v>
      </c>
      <c r="L62" s="29">
        <v>20000</v>
      </c>
      <c r="M62" s="29">
        <v>0</v>
      </c>
      <c r="N62" s="1" t="s">
        <v>167</v>
      </c>
    </row>
    <row r="63" spans="1:16" ht="18" customHeight="1" x14ac:dyDescent="0.2">
      <c r="A63" s="17" t="s">
        <v>168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1" t="s">
        <v>169</v>
      </c>
    </row>
    <row r="64" spans="1:16" ht="22.5" customHeight="1" x14ac:dyDescent="0.2">
      <c r="A64" s="17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</row>
    <row r="65" spans="1:16" ht="18" customHeight="1" x14ac:dyDescent="0.2">
      <c r="A65" s="17" t="s">
        <v>170</v>
      </c>
      <c r="B65" s="26">
        <f t="shared" ref="B65:M65" si="13">SUM(B57:B63)</f>
        <v>0</v>
      </c>
      <c r="C65" s="26">
        <f t="shared" si="13"/>
        <v>0</v>
      </c>
      <c r="D65" s="26">
        <f t="shared" si="13"/>
        <v>20000</v>
      </c>
      <c r="E65" s="26">
        <f t="shared" si="13"/>
        <v>0</v>
      </c>
      <c r="F65" s="26">
        <f t="shared" si="13"/>
        <v>0</v>
      </c>
      <c r="G65" s="26">
        <f t="shared" si="13"/>
        <v>50000</v>
      </c>
      <c r="H65" s="26">
        <f t="shared" si="13"/>
        <v>0</v>
      </c>
      <c r="I65" s="26">
        <f t="shared" si="13"/>
        <v>0</v>
      </c>
      <c r="J65" s="26">
        <f t="shared" si="13"/>
        <v>10000</v>
      </c>
      <c r="K65" s="26">
        <f t="shared" si="13"/>
        <v>0</v>
      </c>
      <c r="L65" s="26">
        <f t="shared" si="13"/>
        <v>20000</v>
      </c>
      <c r="M65" s="26">
        <f t="shared" si="13"/>
        <v>0</v>
      </c>
    </row>
    <row r="66" spans="1:16" ht="20.25" customHeight="1" x14ac:dyDescent="0.2">
      <c r="A66" s="17" t="s">
        <v>171</v>
      </c>
      <c r="B66" s="30"/>
      <c r="C66" s="25"/>
      <c r="D66" s="25"/>
      <c r="E66" s="12">
        <f>SUM(B65:E65)</f>
        <v>20000</v>
      </c>
      <c r="F66" s="30"/>
      <c r="G66" s="30"/>
      <c r="H66" s="30"/>
      <c r="I66" s="12">
        <f>SUM(F65:I65)</f>
        <v>50000</v>
      </c>
      <c r="J66" s="30"/>
      <c r="K66" s="30"/>
      <c r="L66" s="30"/>
      <c r="M66" s="12">
        <f>SUM(J65:M65)</f>
        <v>30000</v>
      </c>
    </row>
    <row r="67" spans="1:16" ht="21" customHeight="1" x14ac:dyDescent="0.2">
      <c r="A67" s="21" t="s">
        <v>172</v>
      </c>
      <c r="B67" s="12">
        <f>SUM(E66,I66,M66)</f>
        <v>100000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</row>
    <row r="68" spans="1:16" ht="21" customHeight="1" x14ac:dyDescent="0.2">
      <c r="A68" s="11"/>
      <c r="B68" s="30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</row>
    <row r="69" spans="1:16" ht="18" customHeight="1" x14ac:dyDescent="0.2">
      <c r="A69" s="32" t="s">
        <v>173</v>
      </c>
      <c r="B69" s="12">
        <f t="shared" ref="B69:M69" si="14">SUM(B65+B52)</f>
        <v>2930</v>
      </c>
      <c r="C69" s="12">
        <f t="shared" si="14"/>
        <v>2906</v>
      </c>
      <c r="D69" s="12">
        <f t="shared" si="14"/>
        <v>23107</v>
      </c>
      <c r="E69" s="12">
        <f t="shared" si="14"/>
        <v>3788</v>
      </c>
      <c r="F69" s="12">
        <f t="shared" si="14"/>
        <v>4332.5</v>
      </c>
      <c r="G69" s="12">
        <f t="shared" si="14"/>
        <v>66013</v>
      </c>
      <c r="H69" s="12">
        <f t="shared" si="14"/>
        <v>18372</v>
      </c>
      <c r="I69" s="12">
        <f t="shared" si="14"/>
        <v>20308</v>
      </c>
      <c r="J69" s="12">
        <f t="shared" si="14"/>
        <v>33360</v>
      </c>
      <c r="K69" s="12">
        <f t="shared" si="14"/>
        <v>35938</v>
      </c>
      <c r="L69" s="12">
        <f t="shared" si="14"/>
        <v>59375</v>
      </c>
      <c r="M69" s="12">
        <f t="shared" si="14"/>
        <v>44072</v>
      </c>
    </row>
    <row r="70" spans="1:16" ht="18" customHeight="1" x14ac:dyDescent="0.2">
      <c r="A70" s="32" t="s">
        <v>174</v>
      </c>
      <c r="B70" s="30"/>
      <c r="C70" s="30"/>
      <c r="D70" s="30"/>
      <c r="E70" s="26">
        <f>SUM(E66+E53)</f>
        <v>32731</v>
      </c>
      <c r="F70" s="30"/>
      <c r="G70" s="30"/>
      <c r="H70" s="30"/>
      <c r="I70" s="26">
        <f>SUM(I66+I53)</f>
        <v>109025.5</v>
      </c>
      <c r="J70" s="30"/>
      <c r="K70" s="30"/>
      <c r="L70" s="30"/>
      <c r="M70" s="26">
        <f>SUM(M66+M53)</f>
        <v>172745</v>
      </c>
    </row>
    <row r="71" spans="1:16" ht="21" customHeight="1" x14ac:dyDescent="0.2">
      <c r="A71" s="33" t="s">
        <v>175</v>
      </c>
      <c r="B71" s="31">
        <f>SUM(B54+B67)</f>
        <v>314501.5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1:16" ht="18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1:16" ht="18" customHeight="1" x14ac:dyDescent="0.2">
      <c r="A73" s="31" t="s">
        <v>176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1:16" ht="18" customHeight="1" x14ac:dyDescent="0.2">
      <c r="A74" s="11" t="s">
        <v>177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6" ht="18" customHeight="1" x14ac:dyDescent="0.2">
      <c r="A75" s="17" t="s">
        <v>178</v>
      </c>
      <c r="B75" s="12">
        <v>3400</v>
      </c>
      <c r="C75" s="12">
        <v>3400</v>
      </c>
      <c r="D75" s="12">
        <v>3400</v>
      </c>
      <c r="E75" s="12">
        <v>3400</v>
      </c>
      <c r="F75" s="12">
        <v>3400</v>
      </c>
      <c r="G75" s="12">
        <v>3400</v>
      </c>
      <c r="H75" s="12">
        <v>6800</v>
      </c>
      <c r="I75" s="12">
        <v>6800</v>
      </c>
      <c r="J75" s="12">
        <v>6800</v>
      </c>
      <c r="K75" s="12">
        <v>6800</v>
      </c>
      <c r="L75" s="12">
        <v>10200</v>
      </c>
      <c r="M75" s="12">
        <v>10200</v>
      </c>
      <c r="N75" s="34"/>
      <c r="O75" s="34"/>
      <c r="P75" s="34"/>
    </row>
    <row r="76" spans="1:16" ht="18" customHeight="1" x14ac:dyDescent="0.2">
      <c r="A76" s="97" t="s">
        <v>179</v>
      </c>
      <c r="B76" s="94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</row>
    <row r="77" spans="1:16" ht="18" customHeight="1" x14ac:dyDescent="0.2">
      <c r="A77" s="17" t="s">
        <v>180</v>
      </c>
      <c r="B77" s="12">
        <v>24.62</v>
      </c>
      <c r="C77" s="12">
        <v>30</v>
      </c>
      <c r="D77" s="12">
        <v>50</v>
      </c>
      <c r="E77" s="12">
        <v>70</v>
      </c>
      <c r="F77" s="12">
        <v>90</v>
      </c>
      <c r="G77" s="12">
        <v>150</v>
      </c>
      <c r="H77" s="12">
        <v>280</v>
      </c>
      <c r="I77" s="12">
        <v>450</v>
      </c>
      <c r="J77" s="12">
        <v>700</v>
      </c>
      <c r="K77" s="12">
        <v>1100</v>
      </c>
      <c r="L77" s="12">
        <v>1600</v>
      </c>
      <c r="M77" s="12">
        <v>2100</v>
      </c>
      <c r="N77" s="100" t="s">
        <v>181</v>
      </c>
    </row>
    <row r="78" spans="1:16" ht="18" customHeight="1" x14ac:dyDescent="0.2">
      <c r="A78" s="17" t="s">
        <v>182</v>
      </c>
      <c r="B78" s="12">
        <v>1.96</v>
      </c>
      <c r="C78" s="12">
        <v>3</v>
      </c>
      <c r="D78" s="12">
        <v>5</v>
      </c>
      <c r="E78" s="12">
        <v>7</v>
      </c>
      <c r="F78" s="12">
        <v>9</v>
      </c>
      <c r="G78" s="12">
        <v>15</v>
      </c>
      <c r="H78" s="12">
        <v>28</v>
      </c>
      <c r="I78" s="12">
        <v>45</v>
      </c>
      <c r="J78" s="12">
        <v>70</v>
      </c>
      <c r="K78" s="12">
        <v>110</v>
      </c>
      <c r="L78" s="12">
        <v>160</v>
      </c>
      <c r="M78" s="12">
        <v>210</v>
      </c>
      <c r="N78" s="100"/>
    </row>
    <row r="79" spans="1:16" ht="18" customHeight="1" x14ac:dyDescent="0.2">
      <c r="A79" s="17" t="s">
        <v>183</v>
      </c>
      <c r="B79" s="12">
        <v>9.32</v>
      </c>
      <c r="C79" s="12">
        <v>10</v>
      </c>
      <c r="D79" s="12">
        <v>10</v>
      </c>
      <c r="E79" s="12">
        <v>10</v>
      </c>
      <c r="F79" s="12">
        <v>12</v>
      </c>
      <c r="G79" s="12">
        <v>15</v>
      </c>
      <c r="H79" s="12">
        <v>20</v>
      </c>
      <c r="I79" s="12">
        <v>25</v>
      </c>
      <c r="J79" s="12">
        <v>30</v>
      </c>
      <c r="K79" s="12">
        <v>40</v>
      </c>
      <c r="L79" s="12">
        <v>50</v>
      </c>
      <c r="M79" s="12">
        <v>65</v>
      </c>
      <c r="N79" s="100"/>
    </row>
    <row r="80" spans="1:16" ht="18" customHeight="1" x14ac:dyDescent="0.2">
      <c r="A80" s="17" t="s">
        <v>184</v>
      </c>
      <c r="B80" s="12">
        <v>1.53</v>
      </c>
      <c r="C80" s="12">
        <v>1.6</v>
      </c>
      <c r="D80" s="12">
        <v>1.6</v>
      </c>
      <c r="E80" s="12">
        <v>1.6</v>
      </c>
      <c r="F80" s="12">
        <v>2</v>
      </c>
      <c r="G80" s="12">
        <v>2</v>
      </c>
      <c r="H80" s="12">
        <v>2.5</v>
      </c>
      <c r="I80" s="12">
        <v>2.5</v>
      </c>
      <c r="J80" s="12">
        <v>3</v>
      </c>
      <c r="K80" s="12">
        <v>3</v>
      </c>
      <c r="L80" s="12">
        <v>3.5</v>
      </c>
      <c r="M80" s="12">
        <v>3.5</v>
      </c>
      <c r="N80" s="100"/>
    </row>
    <row r="81" spans="1:16" ht="18" customHeight="1" x14ac:dyDescent="0.2">
      <c r="A81" s="17" t="s">
        <v>185</v>
      </c>
      <c r="B81" s="12">
        <v>0.01</v>
      </c>
      <c r="C81" s="12">
        <v>0.1</v>
      </c>
      <c r="D81" s="12">
        <v>0.2</v>
      </c>
      <c r="E81" s="12">
        <v>0.5</v>
      </c>
      <c r="F81" s="12">
        <v>1</v>
      </c>
      <c r="G81" s="12">
        <v>2.5</v>
      </c>
      <c r="H81" s="12">
        <v>5</v>
      </c>
      <c r="I81" s="12">
        <v>8</v>
      </c>
      <c r="J81" s="12">
        <v>12</v>
      </c>
      <c r="K81" s="12">
        <v>18</v>
      </c>
      <c r="L81" s="12">
        <v>25</v>
      </c>
      <c r="M81" s="12">
        <v>35</v>
      </c>
      <c r="N81" s="100"/>
    </row>
    <row r="82" spans="1:16" ht="18" customHeight="1" x14ac:dyDescent="0.2">
      <c r="A82" s="17" t="s">
        <v>186</v>
      </c>
      <c r="B82" s="12">
        <v>0</v>
      </c>
      <c r="C82" s="12">
        <v>0.5</v>
      </c>
      <c r="D82" s="12">
        <v>1</v>
      </c>
      <c r="E82" s="12">
        <v>2</v>
      </c>
      <c r="F82" s="12">
        <v>3</v>
      </c>
      <c r="G82" s="12">
        <v>5</v>
      </c>
      <c r="H82" s="12">
        <v>10</v>
      </c>
      <c r="I82" s="12">
        <v>16</v>
      </c>
      <c r="J82" s="12">
        <v>25</v>
      </c>
      <c r="K82" s="12">
        <v>40</v>
      </c>
      <c r="L82" s="12">
        <v>60</v>
      </c>
      <c r="M82" s="12">
        <v>80</v>
      </c>
      <c r="N82" s="100"/>
    </row>
    <row r="83" spans="1:16" ht="18" customHeight="1" x14ac:dyDescent="0.2">
      <c r="A83" s="17" t="s">
        <v>187</v>
      </c>
      <c r="B83" s="12">
        <v>0</v>
      </c>
      <c r="C83" s="12">
        <v>0</v>
      </c>
      <c r="D83" s="12">
        <v>0</v>
      </c>
      <c r="E83" s="12">
        <v>0.1</v>
      </c>
      <c r="F83" s="12">
        <v>0.2</v>
      </c>
      <c r="G83" s="12">
        <v>0.5</v>
      </c>
      <c r="H83" s="12">
        <v>1</v>
      </c>
      <c r="I83" s="12">
        <v>2</v>
      </c>
      <c r="J83" s="12">
        <v>3</v>
      </c>
      <c r="K83" s="12">
        <v>5</v>
      </c>
      <c r="L83" s="12">
        <v>7</v>
      </c>
      <c r="M83" s="12">
        <v>10</v>
      </c>
      <c r="N83" s="100"/>
    </row>
    <row r="84" spans="1:16" ht="18" customHeight="1" x14ac:dyDescent="0.2">
      <c r="A84" s="35" t="s">
        <v>188</v>
      </c>
      <c r="B84" s="12">
        <f t="shared" ref="B84:M84" si="15">SUM(B77:B83)</f>
        <v>37.440000000000005</v>
      </c>
      <c r="C84" s="12">
        <f t="shared" si="15"/>
        <v>45.2</v>
      </c>
      <c r="D84" s="12">
        <f t="shared" si="15"/>
        <v>67.8</v>
      </c>
      <c r="E84" s="12">
        <f t="shared" si="15"/>
        <v>91.199999999999989</v>
      </c>
      <c r="F84" s="12">
        <f t="shared" si="15"/>
        <v>117.2</v>
      </c>
      <c r="G84" s="12">
        <f t="shared" si="15"/>
        <v>190</v>
      </c>
      <c r="H84" s="12">
        <f t="shared" si="15"/>
        <v>346.5</v>
      </c>
      <c r="I84" s="12">
        <f t="shared" si="15"/>
        <v>548.5</v>
      </c>
      <c r="J84" s="12">
        <f t="shared" si="15"/>
        <v>843</v>
      </c>
      <c r="K84" s="12">
        <f t="shared" si="15"/>
        <v>1316</v>
      </c>
      <c r="L84" s="12">
        <f t="shared" si="15"/>
        <v>1905.5</v>
      </c>
      <c r="M84" s="12">
        <f t="shared" si="15"/>
        <v>2503.5</v>
      </c>
      <c r="N84" s="100"/>
    </row>
    <row r="85" spans="1:16" ht="18" customHeight="1" x14ac:dyDescent="0.2">
      <c r="A85" s="97" t="s">
        <v>189</v>
      </c>
      <c r="B85" s="94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</row>
    <row r="86" spans="1:16" ht="37.5" customHeight="1" x14ac:dyDescent="0.2">
      <c r="A86" s="36" t="s">
        <v>190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" t="s">
        <v>191</v>
      </c>
    </row>
    <row r="87" spans="1:16" ht="37.5" customHeight="1" x14ac:dyDescent="0.2">
      <c r="A87" s="36" t="s">
        <v>192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" t="s">
        <v>191</v>
      </c>
    </row>
    <row r="88" spans="1:16" ht="109" customHeight="1" x14ac:dyDescent="0.2">
      <c r="A88" s="36" t="s">
        <v>193</v>
      </c>
      <c r="B88" s="12">
        <f t="shared" ref="B88:M88" si="16">1.5984*(B12+B25+B38)</f>
        <v>47.951999999999998</v>
      </c>
      <c r="C88" s="12">
        <f t="shared" si="16"/>
        <v>46.3536</v>
      </c>
      <c r="D88" s="12">
        <f t="shared" si="16"/>
        <v>52.747199999999999</v>
      </c>
      <c r="E88" s="12">
        <f t="shared" si="16"/>
        <v>91.108800000000002</v>
      </c>
      <c r="F88" s="12">
        <f t="shared" si="16"/>
        <v>123.876</v>
      </c>
      <c r="G88" s="12">
        <f t="shared" si="16"/>
        <v>202.99680000000001</v>
      </c>
      <c r="H88" s="12">
        <f t="shared" si="16"/>
        <v>234.9648</v>
      </c>
      <c r="I88" s="12">
        <f t="shared" si="16"/>
        <v>274.9248</v>
      </c>
      <c r="J88" s="12">
        <f t="shared" si="16"/>
        <v>393.20640000000003</v>
      </c>
      <c r="K88" s="12">
        <f t="shared" si="16"/>
        <v>505.09440000000001</v>
      </c>
      <c r="L88" s="12">
        <f t="shared" si="16"/>
        <v>612.18719999999996</v>
      </c>
      <c r="M88" s="12">
        <f t="shared" si="16"/>
        <v>732.06720000000007</v>
      </c>
      <c r="N88" s="1" t="s">
        <v>194</v>
      </c>
    </row>
    <row r="89" spans="1:16" ht="18" customHeight="1" x14ac:dyDescent="0.2">
      <c r="A89" s="17" t="s">
        <v>195</v>
      </c>
      <c r="B89" s="12">
        <v>170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</row>
    <row r="90" spans="1:16" ht="18" customHeight="1" x14ac:dyDescent="0.2">
      <c r="A90" s="93" t="s">
        <v>196</v>
      </c>
      <c r="B90" s="94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</row>
    <row r="91" spans="1:16" ht="37.5" customHeight="1" x14ac:dyDescent="0.2">
      <c r="A91" s="36" t="s">
        <v>197</v>
      </c>
      <c r="B91" s="17">
        <v>2500</v>
      </c>
      <c r="C91" s="17">
        <v>0</v>
      </c>
      <c r="D91" s="17">
        <v>0</v>
      </c>
      <c r="E91" s="17">
        <v>0</v>
      </c>
      <c r="F91" s="17">
        <v>2500</v>
      </c>
      <c r="G91" s="17">
        <v>0</v>
      </c>
      <c r="H91" s="17">
        <v>0</v>
      </c>
      <c r="I91" s="17">
        <v>0</v>
      </c>
      <c r="J91" s="17">
        <v>2500</v>
      </c>
      <c r="K91" s="17">
        <v>0</v>
      </c>
      <c r="L91" s="17">
        <v>0</v>
      </c>
      <c r="M91" s="17">
        <v>0</v>
      </c>
    </row>
    <row r="92" spans="1:16" ht="18.75" customHeight="1" x14ac:dyDescent="0.2">
      <c r="A92" s="17" t="s">
        <v>198</v>
      </c>
      <c r="B92" s="17">
        <v>1000</v>
      </c>
      <c r="C92" s="17">
        <v>0</v>
      </c>
      <c r="D92" s="17">
        <v>0</v>
      </c>
      <c r="E92" s="17">
        <v>0</v>
      </c>
      <c r="F92" s="17">
        <v>1000</v>
      </c>
      <c r="G92" s="17">
        <v>0</v>
      </c>
      <c r="H92" s="17">
        <v>0</v>
      </c>
      <c r="I92" s="17">
        <v>0</v>
      </c>
      <c r="J92" s="17">
        <v>1000</v>
      </c>
      <c r="K92" s="17">
        <v>0</v>
      </c>
      <c r="L92" s="17">
        <v>0</v>
      </c>
      <c r="M92" s="17">
        <v>0</v>
      </c>
    </row>
    <row r="93" spans="1:16" ht="18.75" customHeight="1" x14ac:dyDescent="0.2">
      <c r="A93" s="17" t="s">
        <v>199</v>
      </c>
      <c r="B93" s="17">
        <v>500</v>
      </c>
      <c r="C93" s="17">
        <v>0</v>
      </c>
      <c r="D93" s="17">
        <v>0</v>
      </c>
      <c r="E93" s="17">
        <v>0</v>
      </c>
      <c r="F93" s="17">
        <v>500</v>
      </c>
      <c r="G93" s="17">
        <v>0</v>
      </c>
      <c r="H93" s="17">
        <v>0</v>
      </c>
      <c r="I93" s="17">
        <v>0</v>
      </c>
      <c r="J93" s="17">
        <v>500</v>
      </c>
      <c r="K93" s="17">
        <v>0</v>
      </c>
      <c r="L93" s="17">
        <v>0</v>
      </c>
      <c r="M93" s="17">
        <v>0</v>
      </c>
    </row>
    <row r="94" spans="1:16" ht="37.5" customHeight="1" x14ac:dyDescent="0.2">
      <c r="A94" s="17" t="s">
        <v>200</v>
      </c>
      <c r="B94" s="17">
        <v>5000</v>
      </c>
      <c r="C94" s="17">
        <v>0</v>
      </c>
      <c r="D94" s="17">
        <v>0</v>
      </c>
      <c r="E94" s="17">
        <v>0</v>
      </c>
      <c r="F94" s="17">
        <v>5000</v>
      </c>
      <c r="G94" s="17">
        <v>0</v>
      </c>
      <c r="H94" s="17">
        <v>0</v>
      </c>
      <c r="I94" s="17">
        <v>0</v>
      </c>
      <c r="J94" s="17">
        <v>5000</v>
      </c>
      <c r="K94" s="17">
        <v>0</v>
      </c>
      <c r="L94" s="17">
        <v>0</v>
      </c>
      <c r="M94" s="17">
        <v>0</v>
      </c>
    </row>
    <row r="95" spans="1:16" ht="18" customHeight="1" x14ac:dyDescent="0.2">
      <c r="A95" s="11" t="s">
        <v>201</v>
      </c>
      <c r="B95" s="26">
        <f t="shared" ref="B95:M95" si="17">SUM(B75,B84:B94)</f>
        <v>12655.392</v>
      </c>
      <c r="C95" s="26">
        <f t="shared" si="17"/>
        <v>3491.5535999999997</v>
      </c>
      <c r="D95" s="26">
        <f t="shared" si="17"/>
        <v>3520.5472</v>
      </c>
      <c r="E95" s="26">
        <f t="shared" si="17"/>
        <v>3582.3087999999998</v>
      </c>
      <c r="F95" s="26">
        <f t="shared" si="17"/>
        <v>12641.076000000001</v>
      </c>
      <c r="G95" s="26">
        <f t="shared" si="17"/>
        <v>3792.9967999999999</v>
      </c>
      <c r="H95" s="26">
        <f t="shared" si="17"/>
        <v>7381.4647999999997</v>
      </c>
      <c r="I95" s="26">
        <f t="shared" si="17"/>
        <v>7623.4247999999998</v>
      </c>
      <c r="J95" s="26">
        <f t="shared" si="17"/>
        <v>17036.206399999999</v>
      </c>
      <c r="K95" s="26">
        <f t="shared" si="17"/>
        <v>8621.0944</v>
      </c>
      <c r="L95" s="26">
        <f t="shared" si="17"/>
        <v>12717.6872</v>
      </c>
      <c r="M95" s="26">
        <f t="shared" si="17"/>
        <v>13435.5672</v>
      </c>
      <c r="N95" s="34"/>
      <c r="O95" s="34"/>
      <c r="P95" s="34"/>
    </row>
    <row r="96" spans="1:16" ht="18" customHeight="1" x14ac:dyDescent="0.2">
      <c r="A96" s="12" t="s">
        <v>202</v>
      </c>
      <c r="B96" s="12">
        <f t="shared" ref="B96:M96" si="18">SUM(B84,B88)</f>
        <v>85.391999999999996</v>
      </c>
      <c r="C96" s="12">
        <f t="shared" si="18"/>
        <v>91.553600000000003</v>
      </c>
      <c r="D96" s="12">
        <f t="shared" si="18"/>
        <v>120.5472</v>
      </c>
      <c r="E96" s="12">
        <f t="shared" si="18"/>
        <v>182.30879999999999</v>
      </c>
      <c r="F96" s="12">
        <f t="shared" si="18"/>
        <v>241.07600000000002</v>
      </c>
      <c r="G96" s="12">
        <f t="shared" si="18"/>
        <v>392.99680000000001</v>
      </c>
      <c r="H96" s="12">
        <f t="shared" si="18"/>
        <v>581.46479999999997</v>
      </c>
      <c r="I96" s="12">
        <f t="shared" si="18"/>
        <v>823.4248</v>
      </c>
      <c r="J96" s="12">
        <f t="shared" si="18"/>
        <v>1236.2064</v>
      </c>
      <c r="K96" s="12">
        <f t="shared" si="18"/>
        <v>1821.0944</v>
      </c>
      <c r="L96" s="12">
        <f t="shared" si="18"/>
        <v>2517.6871999999998</v>
      </c>
      <c r="M96" s="12">
        <f t="shared" si="18"/>
        <v>3235.5672</v>
      </c>
    </row>
    <row r="97" spans="1:16" ht="18" customHeight="1" x14ac:dyDescent="0.2">
      <c r="A97" s="37" t="s">
        <v>203</v>
      </c>
      <c r="B97" s="12">
        <f t="shared" ref="B97:M97" si="19">B75+B89</f>
        <v>3570</v>
      </c>
      <c r="C97" s="12">
        <f t="shared" si="19"/>
        <v>3400</v>
      </c>
      <c r="D97" s="12">
        <f t="shared" si="19"/>
        <v>3400</v>
      </c>
      <c r="E97" s="12">
        <f t="shared" si="19"/>
        <v>3400</v>
      </c>
      <c r="F97" s="12">
        <f t="shared" si="19"/>
        <v>3400</v>
      </c>
      <c r="G97" s="12">
        <f t="shared" si="19"/>
        <v>3400</v>
      </c>
      <c r="H97" s="12">
        <f t="shared" si="19"/>
        <v>6800</v>
      </c>
      <c r="I97" s="12">
        <f t="shared" si="19"/>
        <v>6800</v>
      </c>
      <c r="J97" s="12">
        <f t="shared" si="19"/>
        <v>6800</v>
      </c>
      <c r="K97" s="12">
        <f t="shared" si="19"/>
        <v>6800</v>
      </c>
      <c r="L97" s="12">
        <f t="shared" si="19"/>
        <v>10200</v>
      </c>
      <c r="M97" s="12">
        <f t="shared" si="19"/>
        <v>10200</v>
      </c>
    </row>
    <row r="98" spans="1:16" ht="18" customHeight="1" x14ac:dyDescent="0.2">
      <c r="A98" s="11" t="s">
        <v>204</v>
      </c>
      <c r="B98" s="12">
        <f t="shared" ref="B98:M98" si="20">IFERROR(B96/B52,0)</f>
        <v>2.9144027303754264E-2</v>
      </c>
      <c r="C98" s="12">
        <f t="shared" si="20"/>
        <v>3.1505024088093601E-2</v>
      </c>
      <c r="D98" s="12">
        <f t="shared" si="20"/>
        <v>3.8798583842935309E-2</v>
      </c>
      <c r="E98" s="12">
        <f t="shared" si="20"/>
        <v>4.8127983104540653E-2</v>
      </c>
      <c r="F98" s="12">
        <f t="shared" si="20"/>
        <v>5.5643623773802657E-2</v>
      </c>
      <c r="G98" s="12">
        <f t="shared" si="20"/>
        <v>2.4542359333041903E-2</v>
      </c>
      <c r="H98" s="12">
        <f t="shared" si="20"/>
        <v>3.1649510124101894E-2</v>
      </c>
      <c r="I98" s="12">
        <f t="shared" si="20"/>
        <v>4.0546818987591098E-2</v>
      </c>
      <c r="J98" s="12">
        <f t="shared" si="20"/>
        <v>5.2919794520547944E-2</v>
      </c>
      <c r="K98" s="12">
        <f t="shared" si="20"/>
        <v>5.0673226111636709E-2</v>
      </c>
      <c r="L98" s="12">
        <f t="shared" si="20"/>
        <v>6.3941262222222212E-2</v>
      </c>
      <c r="M98" s="12">
        <f t="shared" si="20"/>
        <v>7.3415483753857327E-2</v>
      </c>
      <c r="N98" s="34"/>
      <c r="O98" s="34"/>
      <c r="P98" s="34"/>
    </row>
    <row r="99" spans="1:16" ht="18.75" customHeight="1" x14ac:dyDescent="0.2">
      <c r="A99" s="17" t="s">
        <v>205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4750</v>
      </c>
      <c r="I99" s="12">
        <v>4750</v>
      </c>
      <c r="J99" s="12">
        <v>4750</v>
      </c>
      <c r="K99" s="12">
        <v>4750</v>
      </c>
      <c r="L99" s="12">
        <v>4750</v>
      </c>
      <c r="M99" s="12">
        <v>4750</v>
      </c>
      <c r="N99" s="1" t="s">
        <v>206</v>
      </c>
    </row>
    <row r="100" spans="1:16" ht="18.75" customHeight="1" x14ac:dyDescent="0.2">
      <c r="A100" s="17" t="s">
        <v>207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8000</v>
      </c>
      <c r="K100" s="12">
        <v>8000</v>
      </c>
      <c r="L100" s="12">
        <v>8000</v>
      </c>
      <c r="M100" s="12">
        <v>8000</v>
      </c>
      <c r="N100" s="1" t="s">
        <v>208</v>
      </c>
    </row>
    <row r="101" spans="1:16" ht="37.5" customHeight="1" x14ac:dyDescent="0.2">
      <c r="A101" s="17" t="s">
        <v>209</v>
      </c>
      <c r="B101" s="12">
        <v>0</v>
      </c>
      <c r="C101" s="12">
        <v>0</v>
      </c>
      <c r="D101" s="12">
        <v>0</v>
      </c>
      <c r="E101" s="12">
        <v>1000</v>
      </c>
      <c r="F101" s="12">
        <v>1000</v>
      </c>
      <c r="G101" s="12">
        <v>2000</v>
      </c>
      <c r="H101" s="12">
        <v>2000</v>
      </c>
      <c r="I101" s="12">
        <v>1000</v>
      </c>
      <c r="J101" s="12">
        <v>1000</v>
      </c>
      <c r="K101" s="12">
        <v>2000</v>
      </c>
      <c r="L101" s="12">
        <v>1000</v>
      </c>
      <c r="M101" s="12">
        <v>1000</v>
      </c>
      <c r="N101" s="1" t="s">
        <v>210</v>
      </c>
    </row>
    <row r="102" spans="1:16" ht="18" customHeight="1" x14ac:dyDescent="0.2">
      <c r="A102" s="17" t="s">
        <v>211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</row>
    <row r="103" spans="1:16" ht="18" customHeight="1" x14ac:dyDescent="0.2">
      <c r="A103" s="17" t="s">
        <v>212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</row>
    <row r="104" spans="1:16" ht="37.5" customHeight="1" x14ac:dyDescent="0.2">
      <c r="A104" s="17" t="s">
        <v>213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3000</v>
      </c>
      <c r="I104" s="12">
        <v>0</v>
      </c>
      <c r="J104" s="12">
        <v>0</v>
      </c>
      <c r="K104" s="12">
        <v>3000</v>
      </c>
      <c r="L104" s="12">
        <v>3000</v>
      </c>
      <c r="M104" s="12">
        <v>0</v>
      </c>
      <c r="N104" s="1" t="s">
        <v>214</v>
      </c>
    </row>
    <row r="105" spans="1:16" ht="18" customHeight="1" x14ac:dyDescent="0.2">
      <c r="A105" s="17" t="s">
        <v>215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34"/>
      <c r="O105" s="34"/>
      <c r="P105" s="34"/>
    </row>
    <row r="106" spans="1:16" s="6" customFormat="1" ht="21" customHeight="1" x14ac:dyDescent="0.2">
      <c r="A106" s="11" t="s">
        <v>216</v>
      </c>
      <c r="B106" s="31">
        <f t="shared" ref="B106:M106" si="21">SUM(B99:B105)</f>
        <v>0</v>
      </c>
      <c r="C106" s="31">
        <f t="shared" si="21"/>
        <v>0</v>
      </c>
      <c r="D106" s="31">
        <f t="shared" si="21"/>
        <v>0</v>
      </c>
      <c r="E106" s="31">
        <f t="shared" si="21"/>
        <v>1000</v>
      </c>
      <c r="F106" s="31">
        <f t="shared" si="21"/>
        <v>1000</v>
      </c>
      <c r="G106" s="31">
        <f t="shared" si="21"/>
        <v>2000</v>
      </c>
      <c r="H106" s="31">
        <f t="shared" si="21"/>
        <v>9750</v>
      </c>
      <c r="I106" s="31">
        <f t="shared" si="21"/>
        <v>5750</v>
      </c>
      <c r="J106" s="31">
        <f t="shared" si="21"/>
        <v>13750</v>
      </c>
      <c r="K106" s="31">
        <f t="shared" si="21"/>
        <v>17750</v>
      </c>
      <c r="L106" s="31">
        <f t="shared" si="21"/>
        <v>16750</v>
      </c>
      <c r="M106" s="31">
        <f t="shared" si="21"/>
        <v>13750</v>
      </c>
      <c r="N106" s="8"/>
      <c r="O106" s="8"/>
      <c r="P106" s="8"/>
    </row>
    <row r="107" spans="1:16" ht="18" hidden="1" customHeight="1" x14ac:dyDescent="0.2">
      <c r="A107" s="17" t="s">
        <v>217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</row>
    <row r="108" spans="1:16" ht="18" hidden="1" customHeight="1" x14ac:dyDescent="0.2">
      <c r="A108" s="17" t="s">
        <v>197</v>
      </c>
      <c r="B108" s="30">
        <v>2500</v>
      </c>
      <c r="C108" s="30">
        <v>2500</v>
      </c>
      <c r="D108" s="30">
        <v>2500</v>
      </c>
      <c r="E108" s="12">
        <v>2500</v>
      </c>
      <c r="F108" s="30">
        <v>2500</v>
      </c>
      <c r="G108" s="30">
        <v>2500</v>
      </c>
      <c r="H108" s="30">
        <v>2500</v>
      </c>
      <c r="I108" s="12">
        <v>2500</v>
      </c>
      <c r="J108" s="30">
        <v>2500</v>
      </c>
      <c r="K108" s="30">
        <v>2500</v>
      </c>
      <c r="L108" s="30">
        <v>2500</v>
      </c>
      <c r="M108" s="12">
        <v>2500</v>
      </c>
    </row>
    <row r="109" spans="1:16" ht="18" hidden="1" customHeight="1" x14ac:dyDescent="0.2">
      <c r="A109" s="17" t="s">
        <v>198</v>
      </c>
      <c r="B109" s="12">
        <v>1000</v>
      </c>
      <c r="C109" s="12">
        <v>1000</v>
      </c>
      <c r="D109" s="12">
        <v>1000</v>
      </c>
      <c r="E109" s="12">
        <v>1000</v>
      </c>
      <c r="F109" s="12">
        <v>500</v>
      </c>
      <c r="G109" s="12">
        <v>500</v>
      </c>
      <c r="H109" s="12">
        <v>500</v>
      </c>
      <c r="I109" s="12">
        <v>500</v>
      </c>
      <c r="J109" s="12">
        <v>500</v>
      </c>
      <c r="K109" s="12">
        <v>500</v>
      </c>
      <c r="L109" s="12">
        <v>500</v>
      </c>
      <c r="M109" s="12">
        <v>500</v>
      </c>
    </row>
    <row r="110" spans="1:16" ht="18" hidden="1" customHeight="1" x14ac:dyDescent="0.2">
      <c r="A110" s="17" t="s">
        <v>199</v>
      </c>
      <c r="B110" s="12">
        <v>500</v>
      </c>
      <c r="C110" s="12">
        <v>500</v>
      </c>
      <c r="D110" s="12">
        <v>500</v>
      </c>
      <c r="E110" s="12">
        <v>500</v>
      </c>
      <c r="F110" s="12">
        <v>250</v>
      </c>
      <c r="G110" s="12">
        <v>250</v>
      </c>
      <c r="H110" s="12">
        <v>250</v>
      </c>
      <c r="I110" s="12">
        <v>250</v>
      </c>
      <c r="J110" s="12">
        <v>250</v>
      </c>
      <c r="K110" s="12">
        <v>250</v>
      </c>
      <c r="L110" s="12">
        <v>250</v>
      </c>
      <c r="M110" s="12">
        <v>250</v>
      </c>
    </row>
    <row r="111" spans="1:16" ht="18" hidden="1" customHeight="1" x14ac:dyDescent="0.2">
      <c r="A111" s="17" t="s">
        <v>200</v>
      </c>
      <c r="B111" s="12">
        <v>5000</v>
      </c>
      <c r="C111" s="12">
        <v>5000</v>
      </c>
      <c r="D111" s="12">
        <v>5000</v>
      </c>
      <c r="E111" s="12">
        <v>5000</v>
      </c>
      <c r="F111" s="12">
        <v>2500</v>
      </c>
      <c r="G111" s="12">
        <v>2500</v>
      </c>
      <c r="H111" s="12">
        <v>2500</v>
      </c>
      <c r="I111" s="12">
        <v>2500</v>
      </c>
      <c r="J111" s="12">
        <v>2500</v>
      </c>
      <c r="K111" s="12">
        <v>2500</v>
      </c>
      <c r="L111" s="12">
        <v>2500</v>
      </c>
      <c r="M111" s="12">
        <v>2500</v>
      </c>
    </row>
    <row r="112" spans="1:16" ht="18" hidden="1" customHeight="1" x14ac:dyDescent="0.2">
      <c r="A112" s="17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spans="1:16" ht="18" hidden="1" customHeight="1" x14ac:dyDescent="0.2">
      <c r="A113" s="17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spans="1:16" ht="18" hidden="1" customHeight="1" x14ac:dyDescent="0.2">
      <c r="A114" s="17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spans="1:16" ht="18" hidden="1" customHeight="1" x14ac:dyDescent="0.2">
      <c r="A115" s="17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spans="1:16" ht="18" hidden="1" customHeight="1" x14ac:dyDescent="0.2">
      <c r="A116" s="17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6" ht="18" hidden="1" customHeight="1" x14ac:dyDescent="0.2">
      <c r="A117" s="17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spans="1:16" ht="18" hidden="1" customHeight="1" x14ac:dyDescent="0.2">
      <c r="A118" s="17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spans="1:16" ht="18" hidden="1" customHeight="1" x14ac:dyDescent="0.2">
      <c r="A119" s="17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spans="1:16" ht="18" hidden="1" customHeight="1" x14ac:dyDescent="0.2">
      <c r="A120" s="17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spans="1:16" ht="18" hidden="1" customHeight="1" x14ac:dyDescent="0.2">
      <c r="A121" s="17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</row>
    <row r="122" spans="1:16" ht="18" hidden="1" customHeight="1" x14ac:dyDescent="0.2">
      <c r="A122" s="17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6" ht="18" hidden="1" customHeight="1" x14ac:dyDescent="0.2">
      <c r="A123" s="17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</row>
    <row r="124" spans="1:16" ht="18" customHeight="1" x14ac:dyDescent="0.2">
      <c r="A124" s="17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spans="1:16" ht="18" customHeight="1" x14ac:dyDescent="0.2">
      <c r="A125" s="31" t="s">
        <v>218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34"/>
      <c r="O125" s="34"/>
      <c r="P125" s="34"/>
    </row>
    <row r="126" spans="1:16" ht="18.75" customHeight="1" x14ac:dyDescent="0.2">
      <c r="A126" s="12" t="s">
        <v>219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" t="s">
        <v>220</v>
      </c>
    </row>
    <row r="127" spans="1:16" ht="18.75" customHeight="1" x14ac:dyDescent="0.2">
      <c r="A127" s="12" t="s">
        <v>221</v>
      </c>
      <c r="B127" s="12">
        <v>100</v>
      </c>
      <c r="C127" s="12">
        <v>100</v>
      </c>
      <c r="D127" s="12">
        <v>100</v>
      </c>
      <c r="E127" s="12">
        <v>100</v>
      </c>
      <c r="F127" s="12">
        <v>200</v>
      </c>
      <c r="G127" s="12">
        <v>200</v>
      </c>
      <c r="H127" s="12">
        <v>400</v>
      </c>
      <c r="I127" s="12">
        <v>500</v>
      </c>
      <c r="J127" s="12">
        <v>500</v>
      </c>
      <c r="K127" s="12">
        <v>600</v>
      </c>
      <c r="L127" s="12">
        <v>600</v>
      </c>
      <c r="M127" s="12">
        <v>600</v>
      </c>
      <c r="N127" s="1" t="s">
        <v>222</v>
      </c>
    </row>
    <row r="128" spans="1:16" ht="18.75" customHeight="1" x14ac:dyDescent="0.2">
      <c r="A128" s="12" t="s">
        <v>223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" t="s">
        <v>220</v>
      </c>
    </row>
    <row r="129" spans="1:16" ht="18" customHeight="1" x14ac:dyDescent="0.2">
      <c r="A129" s="105" t="s">
        <v>224</v>
      </c>
      <c r="B129" s="94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</row>
    <row r="130" spans="1:16" ht="18.75" customHeight="1" x14ac:dyDescent="0.2">
      <c r="A130" s="38" t="s">
        <v>225</v>
      </c>
      <c r="B130" s="12">
        <v>1500</v>
      </c>
      <c r="C130" s="12">
        <v>1500</v>
      </c>
      <c r="D130" s="12">
        <v>1500</v>
      </c>
      <c r="E130" s="12">
        <v>1500</v>
      </c>
      <c r="F130" s="12">
        <v>1500</v>
      </c>
      <c r="G130" s="12">
        <v>1500</v>
      </c>
      <c r="H130" s="12">
        <v>1500</v>
      </c>
      <c r="I130" s="12">
        <v>1500</v>
      </c>
      <c r="J130" s="12">
        <v>2000</v>
      </c>
      <c r="K130" s="12">
        <v>2000</v>
      </c>
      <c r="L130" s="12">
        <v>2000</v>
      </c>
      <c r="M130" s="12">
        <v>2000</v>
      </c>
      <c r="N130" s="1" t="s">
        <v>226</v>
      </c>
    </row>
    <row r="131" spans="1:16" ht="18.75" customHeight="1" x14ac:dyDescent="0.2">
      <c r="A131" s="22" t="s">
        <v>227</v>
      </c>
      <c r="B131" s="12">
        <v>250</v>
      </c>
      <c r="C131" s="12">
        <v>250</v>
      </c>
      <c r="D131" s="12">
        <v>250</v>
      </c>
      <c r="E131" s="12">
        <v>250</v>
      </c>
      <c r="F131" s="12">
        <v>300</v>
      </c>
      <c r="G131" s="12">
        <v>300</v>
      </c>
      <c r="H131" s="12">
        <v>300</v>
      </c>
      <c r="I131" s="12">
        <v>300</v>
      </c>
      <c r="J131" s="12">
        <v>500</v>
      </c>
      <c r="K131" s="12">
        <v>500</v>
      </c>
      <c r="L131" s="12">
        <v>500</v>
      </c>
      <c r="M131" s="12">
        <v>500</v>
      </c>
      <c r="N131" s="1" t="s">
        <v>228</v>
      </c>
    </row>
    <row r="132" spans="1:16" ht="18.75" customHeight="1" x14ac:dyDescent="0.2">
      <c r="A132" s="12" t="s">
        <v>229</v>
      </c>
      <c r="B132" s="12">
        <v>1315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" t="s">
        <v>230</v>
      </c>
    </row>
    <row r="133" spans="1:16" s="40" customFormat="1" ht="21" customHeight="1" x14ac:dyDescent="0.2">
      <c r="A133" s="31" t="s">
        <v>231</v>
      </c>
      <c r="B133" s="31">
        <f t="shared" ref="B133:M133" si="22">SUM(B126:B132)+SUM(B108:B111)</f>
        <v>12165</v>
      </c>
      <c r="C133" s="31">
        <f t="shared" si="22"/>
        <v>10850</v>
      </c>
      <c r="D133" s="31">
        <f t="shared" si="22"/>
        <v>10850</v>
      </c>
      <c r="E133" s="31">
        <f t="shared" si="22"/>
        <v>10850</v>
      </c>
      <c r="F133" s="31">
        <f t="shared" si="22"/>
        <v>7750</v>
      </c>
      <c r="G133" s="31">
        <f t="shared" si="22"/>
        <v>7750</v>
      </c>
      <c r="H133" s="31">
        <f t="shared" si="22"/>
        <v>7950</v>
      </c>
      <c r="I133" s="31">
        <f t="shared" si="22"/>
        <v>8050</v>
      </c>
      <c r="J133" s="31">
        <f t="shared" si="22"/>
        <v>8750</v>
      </c>
      <c r="K133" s="31">
        <f t="shared" si="22"/>
        <v>8850</v>
      </c>
      <c r="L133" s="31">
        <f t="shared" si="22"/>
        <v>8850</v>
      </c>
      <c r="M133" s="31">
        <f t="shared" si="22"/>
        <v>8850</v>
      </c>
      <c r="N133" s="39"/>
      <c r="O133" s="39"/>
      <c r="P133" s="39"/>
    </row>
    <row r="134" spans="1:16" ht="18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16" ht="18" customHeight="1" x14ac:dyDescent="0.2">
      <c r="A135" s="11" t="s">
        <v>232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</row>
    <row r="136" spans="1:16" ht="18" customHeight="1" x14ac:dyDescent="0.2">
      <c r="A136" s="17" t="s">
        <v>233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</row>
    <row r="137" spans="1:16" ht="18" customHeight="1" x14ac:dyDescent="0.2">
      <c r="A137" s="17" t="s">
        <v>234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</row>
    <row r="138" spans="1:16" s="6" customFormat="1" ht="21" customHeight="1" x14ac:dyDescent="0.2">
      <c r="A138" s="11" t="s">
        <v>235</v>
      </c>
      <c r="B138" s="31">
        <f t="shared" ref="B138:M138" si="23">SUM(B136:B137)</f>
        <v>0</v>
      </c>
      <c r="C138" s="31">
        <f t="shared" si="23"/>
        <v>0</v>
      </c>
      <c r="D138" s="31">
        <f t="shared" si="23"/>
        <v>0</v>
      </c>
      <c r="E138" s="31">
        <f t="shared" si="23"/>
        <v>0</v>
      </c>
      <c r="F138" s="31">
        <f t="shared" si="23"/>
        <v>0</v>
      </c>
      <c r="G138" s="31">
        <f t="shared" si="23"/>
        <v>0</v>
      </c>
      <c r="H138" s="31">
        <f t="shared" si="23"/>
        <v>0</v>
      </c>
      <c r="I138" s="31">
        <f t="shared" si="23"/>
        <v>0</v>
      </c>
      <c r="J138" s="31">
        <f t="shared" si="23"/>
        <v>0</v>
      </c>
      <c r="K138" s="31">
        <f t="shared" si="23"/>
        <v>0</v>
      </c>
      <c r="L138" s="31">
        <f t="shared" si="23"/>
        <v>0</v>
      </c>
      <c r="M138" s="31">
        <f t="shared" si="23"/>
        <v>0</v>
      </c>
      <c r="N138" s="8"/>
      <c r="O138" s="8"/>
      <c r="P138" s="8"/>
    </row>
    <row r="139" spans="1:16" ht="18" customHeight="1" x14ac:dyDescent="0.2">
      <c r="A139" s="17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</row>
    <row r="140" spans="1:16" ht="18" customHeight="1" x14ac:dyDescent="0.2">
      <c r="A140" s="31" t="s">
        <v>236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6" ht="57" customHeight="1" x14ac:dyDescent="0.2">
      <c r="A141" s="12" t="s">
        <v>237</v>
      </c>
      <c r="B141" s="12">
        <v>0</v>
      </c>
      <c r="C141" s="12">
        <v>0</v>
      </c>
      <c r="D141" s="12">
        <v>0</v>
      </c>
      <c r="E141" s="12">
        <v>0</v>
      </c>
      <c r="F141" s="12">
        <v>4250</v>
      </c>
      <c r="G141" s="12">
        <v>4250</v>
      </c>
      <c r="H141" s="12">
        <v>4250</v>
      </c>
      <c r="I141" s="12">
        <v>4250</v>
      </c>
      <c r="J141" s="12">
        <v>4250</v>
      </c>
      <c r="K141" s="12">
        <v>4250</v>
      </c>
      <c r="L141" s="12">
        <v>4250</v>
      </c>
      <c r="M141" s="12">
        <v>4250</v>
      </c>
      <c r="N141" s="1" t="s">
        <v>238</v>
      </c>
    </row>
    <row r="142" spans="1:16" ht="18" customHeight="1" x14ac:dyDescent="0.2">
      <c r="A142" s="12" t="s">
        <v>239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</row>
    <row r="143" spans="1:16" ht="18.75" customHeight="1" x14ac:dyDescent="0.2">
      <c r="A143" s="12" t="s">
        <v>240</v>
      </c>
      <c r="B143" s="12">
        <v>0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" t="s">
        <v>241</v>
      </c>
    </row>
    <row r="144" spans="1:16" ht="18.75" customHeight="1" x14ac:dyDescent="0.2">
      <c r="A144" s="12" t="s">
        <v>242</v>
      </c>
      <c r="B144" s="12">
        <v>0</v>
      </c>
      <c r="C144" s="12">
        <v>250</v>
      </c>
      <c r="D144" s="12">
        <v>250</v>
      </c>
      <c r="E144" s="12">
        <v>250</v>
      </c>
      <c r="F144" s="12">
        <v>250</v>
      </c>
      <c r="G144" s="12">
        <v>500</v>
      </c>
      <c r="H144" s="12">
        <v>500</v>
      </c>
      <c r="I144" s="12">
        <v>500</v>
      </c>
      <c r="J144" s="12">
        <v>750</v>
      </c>
      <c r="K144" s="12">
        <v>750</v>
      </c>
      <c r="L144" s="12">
        <v>750</v>
      </c>
      <c r="M144" s="12">
        <v>1000</v>
      </c>
      <c r="N144" s="1" t="s">
        <v>243</v>
      </c>
    </row>
    <row r="145" spans="1:16" ht="18" customHeight="1" x14ac:dyDescent="0.2">
      <c r="A145" s="103" t="s">
        <v>244</v>
      </c>
      <c r="B145" s="94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34"/>
      <c r="O145" s="34"/>
      <c r="P145" s="34"/>
    </row>
    <row r="146" spans="1:16" ht="18.75" customHeight="1" x14ac:dyDescent="0.2">
      <c r="A146" s="12" t="s">
        <v>245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500</v>
      </c>
      <c r="I146" s="12">
        <v>500</v>
      </c>
      <c r="J146" s="12">
        <v>750</v>
      </c>
      <c r="K146" s="12">
        <v>750</v>
      </c>
      <c r="L146" s="12">
        <v>750</v>
      </c>
      <c r="M146" s="12">
        <v>750</v>
      </c>
      <c r="N146" s="1" t="s">
        <v>246</v>
      </c>
    </row>
    <row r="147" spans="1:16" ht="18.75" customHeight="1" x14ac:dyDescent="0.2">
      <c r="A147" s="12" t="s">
        <v>247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1000</v>
      </c>
      <c r="I147" s="12">
        <v>1000</v>
      </c>
      <c r="J147" s="12">
        <v>1250</v>
      </c>
      <c r="K147" s="12">
        <v>1250</v>
      </c>
      <c r="L147" s="12">
        <v>1250</v>
      </c>
      <c r="M147" s="12">
        <v>1250</v>
      </c>
      <c r="N147" s="1" t="s">
        <v>246</v>
      </c>
    </row>
    <row r="148" spans="1:16" ht="18.75" customHeight="1" x14ac:dyDescent="0.2">
      <c r="A148" s="12" t="s">
        <v>248</v>
      </c>
      <c r="B148" s="12">
        <v>0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250</v>
      </c>
      <c r="I148" s="12">
        <v>250</v>
      </c>
      <c r="J148" s="12">
        <v>500</v>
      </c>
      <c r="K148" s="12">
        <v>500</v>
      </c>
      <c r="L148" s="12">
        <v>500</v>
      </c>
      <c r="M148" s="12">
        <v>500</v>
      </c>
      <c r="N148" s="1" t="s">
        <v>246</v>
      </c>
    </row>
    <row r="149" spans="1:16" ht="18.75" customHeight="1" x14ac:dyDescent="0.2">
      <c r="A149" s="12" t="s">
        <v>249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" t="s">
        <v>250</v>
      </c>
    </row>
    <row r="150" spans="1:16" s="6" customFormat="1" ht="18" customHeight="1" x14ac:dyDescent="0.2">
      <c r="A150" s="31" t="s">
        <v>251</v>
      </c>
      <c r="B150" s="26">
        <f t="shared" ref="B150:M150" si="24">SUM(B141:B149)</f>
        <v>0</v>
      </c>
      <c r="C150" s="26">
        <f t="shared" si="24"/>
        <v>250</v>
      </c>
      <c r="D150" s="26">
        <f t="shared" si="24"/>
        <v>250</v>
      </c>
      <c r="E150" s="26">
        <f t="shared" si="24"/>
        <v>250</v>
      </c>
      <c r="F150" s="26">
        <f t="shared" si="24"/>
        <v>4500</v>
      </c>
      <c r="G150" s="26">
        <f t="shared" si="24"/>
        <v>4750</v>
      </c>
      <c r="H150" s="26">
        <f t="shared" si="24"/>
        <v>6500</v>
      </c>
      <c r="I150" s="26">
        <f t="shared" si="24"/>
        <v>6500</v>
      </c>
      <c r="J150" s="26">
        <f t="shared" si="24"/>
        <v>7500</v>
      </c>
      <c r="K150" s="26">
        <f t="shared" si="24"/>
        <v>7500</v>
      </c>
      <c r="L150" s="26">
        <f t="shared" si="24"/>
        <v>7500</v>
      </c>
      <c r="M150" s="26">
        <f t="shared" si="24"/>
        <v>7750</v>
      </c>
      <c r="N150" s="41" t="s">
        <v>252</v>
      </c>
      <c r="O150" s="41"/>
      <c r="P150" s="41"/>
    </row>
    <row r="151" spans="1:16" ht="21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</row>
    <row r="152" spans="1:16" s="6" customFormat="1" ht="28.5" customHeight="1" x14ac:dyDescent="0.2">
      <c r="A152" s="42" t="s">
        <v>253</v>
      </c>
      <c r="B152" s="12">
        <f t="shared" ref="B152:M152" si="25">SUM(B95+B106+B133+B138+B150)</f>
        <v>24820.392</v>
      </c>
      <c r="C152" s="12">
        <f t="shared" si="25"/>
        <v>14591.553599999999</v>
      </c>
      <c r="D152" s="12">
        <f t="shared" si="25"/>
        <v>14620.547200000001</v>
      </c>
      <c r="E152" s="12">
        <f t="shared" si="25"/>
        <v>15682.308799999999</v>
      </c>
      <c r="F152" s="12">
        <f t="shared" si="25"/>
        <v>25891.076000000001</v>
      </c>
      <c r="G152" s="12">
        <f t="shared" si="25"/>
        <v>18292.996800000001</v>
      </c>
      <c r="H152" s="12">
        <f t="shared" si="25"/>
        <v>31581.464800000002</v>
      </c>
      <c r="I152" s="12">
        <f t="shared" si="25"/>
        <v>27923.424800000001</v>
      </c>
      <c r="J152" s="12">
        <f t="shared" si="25"/>
        <v>47036.206399999995</v>
      </c>
      <c r="K152" s="12">
        <f t="shared" si="25"/>
        <v>42721.094400000002</v>
      </c>
      <c r="L152" s="12">
        <f t="shared" si="25"/>
        <v>45817.6872</v>
      </c>
      <c r="M152" s="12">
        <f t="shared" si="25"/>
        <v>43785.567199999998</v>
      </c>
      <c r="N152" s="8"/>
      <c r="O152" s="8"/>
      <c r="P152" s="8"/>
    </row>
    <row r="153" spans="1:16" s="6" customFormat="1" ht="27.75" customHeight="1" x14ac:dyDescent="0.2">
      <c r="A153" s="42" t="s">
        <v>254</v>
      </c>
      <c r="B153" s="25"/>
      <c r="C153" s="25"/>
      <c r="D153" s="25"/>
      <c r="E153" s="26">
        <f>SUM(B152:E152)</f>
        <v>69714.801600000006</v>
      </c>
      <c r="F153" s="25"/>
      <c r="G153" s="25"/>
      <c r="H153" s="25"/>
      <c r="I153" s="26">
        <f>SUM(F152:I152)</f>
        <v>103688.96240000002</v>
      </c>
      <c r="J153" s="25"/>
      <c r="K153" s="25"/>
      <c r="L153" s="25"/>
      <c r="M153" s="26">
        <f>SUM(J152:M152)</f>
        <v>179360.5552</v>
      </c>
      <c r="N153" s="8"/>
      <c r="O153" s="8"/>
      <c r="P153" s="8"/>
    </row>
    <row r="154" spans="1:16" ht="21" customHeight="1" x14ac:dyDescent="0.2">
      <c r="A154" s="43" t="s">
        <v>255</v>
      </c>
      <c r="B154" s="31">
        <f>SUM(B152:M152)</f>
        <v>352764.31919999997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spans="1:16" ht="18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spans="1:16" ht="18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spans="1:16" ht="18" customHeight="1" x14ac:dyDescent="0.2">
      <c r="A157" s="31" t="s">
        <v>256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spans="1:16" ht="18" customHeight="1" x14ac:dyDescent="0.2">
      <c r="A158" s="44" t="s">
        <v>257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6" ht="25.5" customHeight="1" x14ac:dyDescent="0.2">
      <c r="A159" s="12" t="s">
        <v>258</v>
      </c>
      <c r="B159" s="12">
        <f t="shared" ref="B159:M159" si="26">SUM(B69-B152)</f>
        <v>-21890.392</v>
      </c>
      <c r="C159" s="12">
        <f t="shared" si="26"/>
        <v>-11685.553599999999</v>
      </c>
      <c r="D159" s="12">
        <f t="shared" si="26"/>
        <v>8486.4527999999991</v>
      </c>
      <c r="E159" s="12">
        <f t="shared" si="26"/>
        <v>-11894.308799999999</v>
      </c>
      <c r="F159" s="12">
        <f t="shared" si="26"/>
        <v>-21558.576000000001</v>
      </c>
      <c r="G159" s="12">
        <f t="shared" si="26"/>
        <v>47720.003199999999</v>
      </c>
      <c r="H159" s="12">
        <f t="shared" si="26"/>
        <v>-13209.464800000002</v>
      </c>
      <c r="I159" s="12">
        <f t="shared" si="26"/>
        <v>-7615.4248000000007</v>
      </c>
      <c r="J159" s="12">
        <f t="shared" si="26"/>
        <v>-13676.206399999995</v>
      </c>
      <c r="K159" s="12">
        <f t="shared" si="26"/>
        <v>-6783.0944000000018</v>
      </c>
      <c r="L159" s="12">
        <f t="shared" si="26"/>
        <v>13557.3128</v>
      </c>
      <c r="M159" s="12">
        <f t="shared" si="26"/>
        <v>286.43280000000232</v>
      </c>
    </row>
    <row r="160" spans="1:16" ht="21" customHeight="1" x14ac:dyDescent="0.2">
      <c r="A160" s="12" t="s">
        <v>259</v>
      </c>
      <c r="B160" s="24"/>
      <c r="C160" s="25"/>
      <c r="D160" s="25"/>
      <c r="E160" s="26">
        <f>SUM(E70-E153)</f>
        <v>-36983.801600000006</v>
      </c>
      <c r="F160" s="25"/>
      <c r="G160" s="25"/>
      <c r="H160" s="25"/>
      <c r="I160" s="26">
        <f>SUM(I70-I153)</f>
        <v>5336.5375999999815</v>
      </c>
      <c r="J160" s="25"/>
      <c r="K160" s="25"/>
      <c r="L160" s="25"/>
      <c r="M160" s="26">
        <f>SUM(M70-M153)</f>
        <v>-6615.5552000000025</v>
      </c>
    </row>
    <row r="161" spans="1:14" ht="21" customHeight="1" x14ac:dyDescent="0.2">
      <c r="A161" s="12" t="s">
        <v>260</v>
      </c>
      <c r="B161" s="31">
        <f>SUM(B71-B154)</f>
        <v>-38262.819199999969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3" spans="1:14" ht="18" customHeight="1" x14ac:dyDescent="0.2">
      <c r="A163" s="2" t="s">
        <v>261</v>
      </c>
    </row>
    <row r="164" spans="1:14" ht="18" customHeight="1" x14ac:dyDescent="0.2">
      <c r="A164" s="2" t="s">
        <v>258</v>
      </c>
      <c r="B164" s="3">
        <f t="shared" ref="B164:M164" si="27">B69-B95</f>
        <v>-9725.3919999999998</v>
      </c>
      <c r="C164" s="2">
        <f t="shared" si="27"/>
        <v>-585.55359999999973</v>
      </c>
      <c r="D164" s="2">
        <f t="shared" si="27"/>
        <v>19586.452799999999</v>
      </c>
      <c r="E164" s="2">
        <f t="shared" si="27"/>
        <v>205.69120000000021</v>
      </c>
      <c r="F164" s="2">
        <f t="shared" si="27"/>
        <v>-8308.5760000000009</v>
      </c>
      <c r="G164" s="2">
        <f t="shared" si="27"/>
        <v>62220.003199999999</v>
      </c>
      <c r="H164" s="2">
        <f t="shared" si="27"/>
        <v>10990.5352</v>
      </c>
      <c r="I164" s="2">
        <f t="shared" si="27"/>
        <v>12684.575199999999</v>
      </c>
      <c r="J164" s="2">
        <f t="shared" si="27"/>
        <v>16323.793600000001</v>
      </c>
      <c r="K164" s="2">
        <f t="shared" si="27"/>
        <v>27316.905599999998</v>
      </c>
      <c r="L164" s="2">
        <f t="shared" si="27"/>
        <v>46657.3128</v>
      </c>
      <c r="M164" s="2">
        <f t="shared" si="27"/>
        <v>30636.432800000002</v>
      </c>
    </row>
    <row r="165" spans="1:14" ht="18" customHeight="1" x14ac:dyDescent="0.2">
      <c r="A165" s="2" t="s">
        <v>259</v>
      </c>
      <c r="B165" s="96"/>
      <c r="C165" s="95"/>
      <c r="D165" s="95"/>
      <c r="E165" s="2">
        <f>SUM(B164:E164)</f>
        <v>9481.1984000000011</v>
      </c>
      <c r="F165" s="98"/>
      <c r="G165" s="95"/>
      <c r="H165" s="95"/>
      <c r="I165" s="2">
        <f>SUM(F164:I164)</f>
        <v>77586.537599999996</v>
      </c>
      <c r="J165" s="98"/>
      <c r="K165" s="95"/>
      <c r="L165" s="95"/>
      <c r="M165" s="2">
        <f>SUM(J164:M164)</f>
        <v>120934.4448</v>
      </c>
    </row>
    <row r="167" spans="1:14" ht="18" customHeight="1" x14ac:dyDescent="0.2">
      <c r="A167" s="2" t="s">
        <v>262</v>
      </c>
    </row>
    <row r="168" spans="1:14" ht="18" customHeight="1" x14ac:dyDescent="0.2">
      <c r="A168" s="2" t="s">
        <v>263</v>
      </c>
      <c r="B168" s="3">
        <f t="shared" ref="B168:M168" si="28">B164-B106-B133-B150</f>
        <v>-21890.392</v>
      </c>
      <c r="C168" s="2">
        <f t="shared" si="28"/>
        <v>-11685.553599999999</v>
      </c>
      <c r="D168" s="2">
        <f t="shared" si="28"/>
        <v>8486.4527999999991</v>
      </c>
      <c r="E168" s="2">
        <f t="shared" si="28"/>
        <v>-11894.308799999999</v>
      </c>
      <c r="F168" s="2">
        <f t="shared" si="28"/>
        <v>-21558.576000000001</v>
      </c>
      <c r="G168" s="2">
        <f t="shared" si="28"/>
        <v>47720.003199999999</v>
      </c>
      <c r="H168" s="2">
        <f t="shared" si="28"/>
        <v>-13209.4648</v>
      </c>
      <c r="I168" s="2">
        <f t="shared" si="28"/>
        <v>-7615.4248000000007</v>
      </c>
      <c r="J168" s="2">
        <f t="shared" si="28"/>
        <v>-13676.206399999999</v>
      </c>
      <c r="K168" s="2">
        <f t="shared" si="28"/>
        <v>-6783.0944000000018</v>
      </c>
      <c r="L168" s="2">
        <f t="shared" si="28"/>
        <v>13557.3128</v>
      </c>
      <c r="M168" s="2">
        <f t="shared" si="28"/>
        <v>286.43280000000232</v>
      </c>
    </row>
    <row r="169" spans="1:14" ht="18" customHeight="1" x14ac:dyDescent="0.2">
      <c r="A169" s="2" t="s">
        <v>264</v>
      </c>
      <c r="B169" s="3">
        <f t="shared" ref="B169:M169" si="29">B138</f>
        <v>0</v>
      </c>
      <c r="C169" s="12">
        <f t="shared" si="29"/>
        <v>0</v>
      </c>
      <c r="D169" s="12">
        <f t="shared" si="29"/>
        <v>0</v>
      </c>
      <c r="E169" s="12">
        <f t="shared" si="29"/>
        <v>0</v>
      </c>
      <c r="F169" s="12">
        <f t="shared" si="29"/>
        <v>0</v>
      </c>
      <c r="G169" s="12">
        <f t="shared" si="29"/>
        <v>0</v>
      </c>
      <c r="H169" s="12">
        <f t="shared" si="29"/>
        <v>0</v>
      </c>
      <c r="I169" s="12">
        <f t="shared" si="29"/>
        <v>0</v>
      </c>
      <c r="J169" s="12">
        <f t="shared" si="29"/>
        <v>0</v>
      </c>
      <c r="K169" s="12">
        <f t="shared" si="29"/>
        <v>0</v>
      </c>
      <c r="L169" s="12">
        <f t="shared" si="29"/>
        <v>0</v>
      </c>
      <c r="M169" s="12">
        <f t="shared" si="29"/>
        <v>0</v>
      </c>
    </row>
    <row r="170" spans="1:14" ht="18" customHeight="1" x14ac:dyDescent="0.2">
      <c r="A170" s="2" t="s">
        <v>265</v>
      </c>
      <c r="B170" s="3">
        <f t="shared" ref="B170:M170" si="30">B168+B169</f>
        <v>-21890.392</v>
      </c>
      <c r="C170" s="2">
        <f t="shared" si="30"/>
        <v>-11685.553599999999</v>
      </c>
      <c r="D170" s="2">
        <f t="shared" si="30"/>
        <v>8486.4527999999991</v>
      </c>
      <c r="E170" s="2">
        <f t="shared" si="30"/>
        <v>-11894.308799999999</v>
      </c>
      <c r="F170" s="2">
        <f t="shared" si="30"/>
        <v>-21558.576000000001</v>
      </c>
      <c r="G170" s="2">
        <f t="shared" si="30"/>
        <v>47720.003199999999</v>
      </c>
      <c r="H170" s="2">
        <f t="shared" si="30"/>
        <v>-13209.4648</v>
      </c>
      <c r="I170" s="2">
        <f t="shared" si="30"/>
        <v>-7615.4248000000007</v>
      </c>
      <c r="J170" s="2">
        <f t="shared" si="30"/>
        <v>-13676.206399999999</v>
      </c>
      <c r="K170" s="2">
        <f t="shared" si="30"/>
        <v>-6783.0944000000018</v>
      </c>
      <c r="L170" s="2">
        <f t="shared" si="30"/>
        <v>13557.3128</v>
      </c>
      <c r="M170" s="2">
        <f t="shared" si="30"/>
        <v>286.43280000000232</v>
      </c>
    </row>
    <row r="172" spans="1:14" ht="32.25" customHeight="1" x14ac:dyDescent="0.2">
      <c r="A172" s="2" t="s">
        <v>161</v>
      </c>
      <c r="B172" s="3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1" t="s">
        <v>266</v>
      </c>
    </row>
    <row r="173" spans="1:14" ht="18" customHeight="1" x14ac:dyDescent="0.2">
      <c r="A173" s="2" t="s">
        <v>267</v>
      </c>
      <c r="B173" s="3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1" t="s">
        <v>268</v>
      </c>
    </row>
    <row r="174" spans="1:14" ht="18" customHeight="1" x14ac:dyDescent="0.2">
      <c r="A174" s="2" t="s">
        <v>269</v>
      </c>
      <c r="B174" s="3">
        <f t="shared" ref="B174:M174" si="31">B170+B172-B173</f>
        <v>-21890.392</v>
      </c>
      <c r="C174" s="2">
        <f t="shared" si="31"/>
        <v>-11685.553599999999</v>
      </c>
      <c r="D174" s="2">
        <f t="shared" si="31"/>
        <v>8486.4527999999991</v>
      </c>
      <c r="E174" s="2">
        <f t="shared" si="31"/>
        <v>-11894.308799999999</v>
      </c>
      <c r="F174" s="2">
        <f t="shared" si="31"/>
        <v>-21558.576000000001</v>
      </c>
      <c r="G174" s="2">
        <f t="shared" si="31"/>
        <v>47720.003199999999</v>
      </c>
      <c r="H174" s="2">
        <f t="shared" si="31"/>
        <v>-13209.4648</v>
      </c>
      <c r="I174" s="2">
        <f t="shared" si="31"/>
        <v>-7615.4248000000007</v>
      </c>
      <c r="J174" s="2">
        <f t="shared" si="31"/>
        <v>-13676.206399999999</v>
      </c>
      <c r="K174" s="2">
        <f t="shared" si="31"/>
        <v>-6783.0944000000018</v>
      </c>
      <c r="L174" s="2">
        <f t="shared" si="31"/>
        <v>13557.3128</v>
      </c>
      <c r="M174" s="2">
        <f t="shared" si="31"/>
        <v>286.43280000000232</v>
      </c>
    </row>
    <row r="175" spans="1:14" ht="32.25" customHeight="1" x14ac:dyDescent="0.2">
      <c r="A175" s="2" t="s">
        <v>270</v>
      </c>
      <c r="B175" s="3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f>MAX(0,J174*0.17)</f>
        <v>0</v>
      </c>
      <c r="K175" s="2">
        <f>MAX(0,K174*0.17)</f>
        <v>0</v>
      </c>
      <c r="L175" s="2">
        <f>MAX(0,L174*0.17)</f>
        <v>2304.7431759999999</v>
      </c>
      <c r="M175" s="2">
        <f>MAX(0,M174*0.17)</f>
        <v>48.693576000000398</v>
      </c>
      <c r="N175" s="1" t="s">
        <v>271</v>
      </c>
    </row>
    <row r="176" spans="1:14" ht="18" customHeight="1" x14ac:dyDescent="0.2">
      <c r="A176" s="2" t="s">
        <v>272</v>
      </c>
      <c r="B176" s="3">
        <f t="shared" ref="B176:M176" si="32">B174-B175</f>
        <v>-21890.392</v>
      </c>
      <c r="C176" s="2">
        <f t="shared" si="32"/>
        <v>-11685.553599999999</v>
      </c>
      <c r="D176" s="2">
        <f t="shared" si="32"/>
        <v>8486.4527999999991</v>
      </c>
      <c r="E176" s="2">
        <f t="shared" si="32"/>
        <v>-11894.308799999999</v>
      </c>
      <c r="F176" s="2">
        <f t="shared" si="32"/>
        <v>-21558.576000000001</v>
      </c>
      <c r="G176" s="2">
        <f t="shared" si="32"/>
        <v>47720.003199999999</v>
      </c>
      <c r="H176" s="2">
        <f t="shared" si="32"/>
        <v>-13209.4648</v>
      </c>
      <c r="I176" s="2">
        <f t="shared" si="32"/>
        <v>-7615.4248000000007</v>
      </c>
      <c r="J176" s="2">
        <f t="shared" si="32"/>
        <v>-13676.206399999999</v>
      </c>
      <c r="K176" s="2">
        <f t="shared" si="32"/>
        <v>-6783.0944000000018</v>
      </c>
      <c r="L176" s="2">
        <f t="shared" si="32"/>
        <v>11252.569624</v>
      </c>
      <c r="M176" s="2">
        <f t="shared" si="32"/>
        <v>237.73922400000191</v>
      </c>
    </row>
    <row r="177" spans="1:13" ht="18" customHeight="1" x14ac:dyDescent="0.2">
      <c r="A177" s="2" t="s">
        <v>273</v>
      </c>
      <c r="B177" s="3">
        <f>B176</f>
        <v>-21890.392</v>
      </c>
      <c r="C177" s="2">
        <f t="shared" ref="C177:M177" si="33">B177+C176</f>
        <v>-33575.945599999999</v>
      </c>
      <c r="D177" s="2">
        <f t="shared" si="33"/>
        <v>-25089.4928</v>
      </c>
      <c r="E177" s="2">
        <f t="shared" si="33"/>
        <v>-36983.801599999999</v>
      </c>
      <c r="F177" s="2">
        <f t="shared" si="33"/>
        <v>-58542.3776</v>
      </c>
      <c r="G177" s="2">
        <f t="shared" si="33"/>
        <v>-10822.374400000001</v>
      </c>
      <c r="H177" s="2">
        <f t="shared" si="33"/>
        <v>-24031.839200000002</v>
      </c>
      <c r="I177" s="2">
        <f t="shared" si="33"/>
        <v>-31647.264000000003</v>
      </c>
      <c r="J177" s="2">
        <f t="shared" si="33"/>
        <v>-45323.470400000006</v>
      </c>
      <c r="K177" s="2">
        <f t="shared" si="33"/>
        <v>-52106.564800000007</v>
      </c>
      <c r="L177" s="2">
        <f t="shared" si="33"/>
        <v>-40853.995176000011</v>
      </c>
      <c r="M177" s="2">
        <f t="shared" si="33"/>
        <v>-40616.255952000007</v>
      </c>
    </row>
  </sheetData>
  <mergeCells count="16">
    <mergeCell ref="N77:N84"/>
    <mergeCell ref="F2:I2"/>
    <mergeCell ref="A145:M145"/>
    <mergeCell ref="B2:E2"/>
    <mergeCell ref="J2:M2"/>
    <mergeCell ref="A41:M41"/>
    <mergeCell ref="A129:M129"/>
    <mergeCell ref="A85:M85"/>
    <mergeCell ref="A28:M28"/>
    <mergeCell ref="A90:M90"/>
    <mergeCell ref="B165:D165"/>
    <mergeCell ref="A76:M76"/>
    <mergeCell ref="F165:H165"/>
    <mergeCell ref="A14:M14"/>
    <mergeCell ref="J165:L165"/>
    <mergeCell ref="A61:M61"/>
  </mergeCells>
  <hyperlinks>
    <hyperlink ref="A86" r:id="rId1" xr:uid="{00000000-0004-0000-0100-000000000000}"/>
    <hyperlink ref="A87" r:id="rId2" xr:uid="{00000000-0004-0000-0100-000001000000}"/>
    <hyperlink ref="A88" r:id="rId3" xr:uid="{00000000-0004-0000-0100-000002000000}"/>
    <hyperlink ref="A90" r:id="rId4" xr:uid="{00000000-0004-0000-0100-000003000000}"/>
    <hyperlink ref="A91" r:id="rId5" xr:uid="{00000000-0004-0000-0100-000004000000}"/>
    <hyperlink ref="A130" r:id="rId6" xr:uid="{00000000-0004-0000-0100-000005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"/>
  <sheetViews>
    <sheetView zoomScaleNormal="100" workbookViewId="0">
      <selection activeCell="A47" sqref="A47"/>
    </sheetView>
  </sheetViews>
  <sheetFormatPr baseColWidth="10" defaultColWidth="8.5" defaultRowHeight="18" x14ac:dyDescent="0.2"/>
  <cols>
    <col min="1" max="1" width="96.1640625" style="50" customWidth="1"/>
    <col min="2" max="2" width="19.6640625" style="50" customWidth="1"/>
    <col min="3" max="3" width="16.33203125" style="50" customWidth="1"/>
    <col min="4" max="4" width="16.83203125" style="50" customWidth="1"/>
    <col min="5" max="5" width="15.33203125" style="50" customWidth="1"/>
    <col min="6" max="6" width="16.6640625" style="50" customWidth="1"/>
    <col min="7" max="7" width="16.33203125" style="50" customWidth="1"/>
    <col min="8" max="8" width="15.83203125" style="50" customWidth="1"/>
    <col min="9" max="9" width="18.6640625" style="50" customWidth="1"/>
    <col min="10" max="10" width="19.83203125" style="50" customWidth="1"/>
    <col min="11" max="11" width="15.1640625" style="50" customWidth="1"/>
    <col min="12" max="12" width="16.6640625" style="50" customWidth="1"/>
    <col min="13" max="13" width="19.33203125" style="50" customWidth="1"/>
    <col min="14" max="14" width="52.33203125" style="50" customWidth="1"/>
    <col min="15" max="15" width="36.83203125" style="50" customWidth="1"/>
    <col min="16" max="16" width="35.5" style="50" customWidth="1"/>
    <col min="17" max="18" width="10.83203125" style="50" customWidth="1"/>
    <col min="19" max="19" width="8.5" style="50" customWidth="1"/>
    <col min="20" max="16384" width="8.5" style="50"/>
  </cols>
  <sheetData>
    <row r="1" spans="1:14" ht="28" customHeight="1" x14ac:dyDescent="0.2">
      <c r="A1" s="91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</row>
    <row r="2" spans="1:14" ht="15" customHeight="1" x14ac:dyDescent="0.2">
      <c r="A2" s="92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3" spans="1:14" ht="15" customHeight="1" x14ac:dyDescent="0.2">
      <c r="B3" s="111" t="s">
        <v>1</v>
      </c>
      <c r="C3" s="107"/>
      <c r="D3" s="107"/>
      <c r="E3" s="107"/>
      <c r="F3" s="111" t="s">
        <v>2</v>
      </c>
      <c r="G3" s="107"/>
      <c r="H3" s="107"/>
      <c r="I3" s="107"/>
      <c r="J3" s="111" t="s">
        <v>3</v>
      </c>
      <c r="K3" s="107"/>
      <c r="L3" s="107"/>
      <c r="M3" s="107"/>
    </row>
    <row r="4" spans="1:14" ht="15" customHeight="1" x14ac:dyDescent="0.2">
      <c r="B4" s="49" t="s">
        <v>4</v>
      </c>
      <c r="C4" s="49" t="s">
        <v>5</v>
      </c>
      <c r="D4" s="49" t="s">
        <v>6</v>
      </c>
      <c r="E4" s="49" t="s">
        <v>7</v>
      </c>
      <c r="F4" s="49" t="s">
        <v>4</v>
      </c>
      <c r="G4" s="49" t="s">
        <v>5</v>
      </c>
      <c r="H4" s="49" t="s">
        <v>6</v>
      </c>
      <c r="I4" s="49" t="s">
        <v>7</v>
      </c>
      <c r="J4" s="49" t="s">
        <v>4</v>
      </c>
      <c r="K4" s="49" t="s">
        <v>5</v>
      </c>
      <c r="L4" s="49" t="s">
        <v>6</v>
      </c>
      <c r="M4" s="49" t="s">
        <v>7</v>
      </c>
    </row>
    <row r="5" spans="1:14" ht="17.25" customHeight="1" x14ac:dyDescent="0.2">
      <c r="A5" s="46" t="s">
        <v>8</v>
      </c>
      <c r="B5" s="48" t="str">
        <f>IF('Income Statement'!B106=0,"-",IFERROR('Income Statement'!B106/('Income Statement'!B10+'Income Statement'!B25+'Income Statement'!B38),"-"))</f>
        <v>-</v>
      </c>
      <c r="C5" s="48" t="str">
        <f>IFERROR('Income Statement'!C106/(MAX('Income Statement'!C10-'Income Statement'!B10,0)+MAX('Income Statement'!C25-'Income Statement'!B25,0)+MAX('Income Statement'!C38-'Income Statement'!B38,0)),"-")</f>
        <v>-</v>
      </c>
      <c r="D5" s="48">
        <f>IFERROR('Income Statement'!D106/(MAX('Income Statement'!D10-'Income Statement'!C10,0)+MAX('Income Statement'!D25-'Income Statement'!C25,0)+MAX('Income Statement'!D38-'Income Statement'!C38,0)),"-")</f>
        <v>0</v>
      </c>
      <c r="E5" s="48">
        <f>IFERROR('Income Statement'!E106/(MAX('Income Statement'!E10-'Income Statement'!D10,0)+MAX('Income Statement'!E25-'Income Statement'!D25,0)+MAX('Income Statement'!E38-'Income Statement'!D38,0)),"-")</f>
        <v>34.482758620689658</v>
      </c>
      <c r="F5" s="48">
        <f>IFERROR('Income Statement'!F106/(MAX('Income Statement'!F10-'Income Statement'!E10,0)+MAX('Income Statement'!F25-'Income Statement'!E25,0)+MAX('Income Statement'!F38-'Income Statement'!E38,0)),"-")</f>
        <v>43.478260869565219</v>
      </c>
      <c r="G5" s="48">
        <f>IFERROR('Income Statement'!G106/(MAX('Income Statement'!G10-'Income Statement'!F10,0)+MAX('Income Statement'!G25-'Income Statement'!F25,0)+MAX('Income Statement'!G38-'Income Statement'!F38,0)),"-")</f>
        <v>38.46153846153846</v>
      </c>
      <c r="H5" s="48">
        <f>IFERROR('Income Statement'!H106/(MAX('Income Statement'!H10-'Income Statement'!G10,0)+MAX('Income Statement'!H25-'Income Statement'!G25,0)+MAX('Income Statement'!H38-'Income Statement'!G38,0)),"-")</f>
        <v>375</v>
      </c>
      <c r="I5" s="48">
        <f>IFERROR('Income Statement'!I106/(MAX('Income Statement'!I10-'Income Statement'!H10,0)+MAX('Income Statement'!I25-'Income Statement'!H25,0)+MAX('Income Statement'!I38-'Income Statement'!H38,0)),"-")</f>
        <v>159.72222222222223</v>
      </c>
      <c r="J5" s="48">
        <f>IFERROR('Income Statement'!J106/(MAX('Income Statement'!J10-'Income Statement'!I10,0)+MAX('Income Statement'!J25-'Income Statement'!I25,0)+MAX('Income Statement'!J38-'Income Statement'!I38,0)),"-")</f>
        <v>163.6904761904762</v>
      </c>
      <c r="K5" s="48">
        <f>IFERROR('Income Statement'!K106/(MAX('Income Statement'!K10-'Income Statement'!J10,0)+MAX('Income Statement'!K25-'Income Statement'!J25,0)+MAX('Income Statement'!K38-'Income Statement'!J38,0)),"-")</f>
        <v>221.875</v>
      </c>
      <c r="L5" s="48">
        <f>IFERROR('Income Statement'!L106/(MAX('Income Statement'!L10-'Income Statement'!K10,0)+MAX('Income Statement'!L25-'Income Statement'!K25,0)+MAX('Income Statement'!L38-'Income Statement'!K38,0)),"-")</f>
        <v>184.06593406593407</v>
      </c>
      <c r="M5" s="48">
        <f>IFERROR('Income Statement'!M106/(MAX('Income Statement'!M10-'Income Statement'!L10,0)+MAX('Income Statement'!M25-'Income Statement'!L25,0)+MAX('Income Statement'!M38-'Income Statement'!L38,0)),"-")</f>
        <v>154.49438202247191</v>
      </c>
      <c r="N5" s="51"/>
    </row>
    <row r="6" spans="1:14" ht="17.25" customHeight="1" x14ac:dyDescent="0.2">
      <c r="A6" s="46" t="s">
        <v>9</v>
      </c>
      <c r="B6" s="47"/>
      <c r="C6" s="47"/>
      <c r="D6" s="47"/>
      <c r="E6" s="48">
        <f>IFERROR(SUM('Income Statement'!B106:'Income Statement'!E106)/(('Income Statement'!B10+'Income Statement'!B25+'Income Statement'!B38)+MAX('Income Statement'!C10-'Income Statement'!B10,0)+MAX('Income Statement'!C25-'Income Statement'!B25,0)+MAX('Income Statement'!C38-'Income Statement'!B38,0)+MAX('Income Statement'!D10-'Income Statement'!C10,0)+MAX('Income Statement'!D25-'Income Statement'!C25,0)+MAX('Income Statement'!D38-'Income Statement'!C38,0)+MAX('Income Statement'!E10-'Income Statement'!D10,0)+MAX('Income Statement'!E25-'Income Statement'!D25,0)+MAX('Income Statement'!E38-'Income Statement'!D38,0)),"-")</f>
        <v>12.658227848101266</v>
      </c>
      <c r="F6" s="47"/>
      <c r="G6" s="47"/>
      <c r="H6" s="47"/>
      <c r="I6" s="48">
        <f>IFERROR(SUM('Income Statement'!F106:'Income Statement'!I106)/(MAX('Income Statement'!F10-'Income Statement'!E10,0)+MAX('Income Statement'!F25-'Income Statement'!E25,0)+MAX('Income Statement'!F38-'Income Statement'!E38,0)+MAX('Income Statement'!G10-'Income Statement'!F10,0)+MAX('Income Statement'!G25-'Income Statement'!F25,0)+MAX('Income Statement'!G38-'Income Statement'!F38,0)+MAX('Income Statement'!H10-'Income Statement'!G10,0)+MAX('Income Statement'!H25-'Income Statement'!G25,0)+MAX('Income Statement'!H38-'Income Statement'!G38,0)+MAX('Income Statement'!I10-'Income Statement'!H10,0)+MAX('Income Statement'!I25-'Income Statement'!H25,0)+MAX('Income Statement'!I38-'Income Statement'!H38,0)),"-")</f>
        <v>135.03649635036496</v>
      </c>
      <c r="J6" s="47"/>
      <c r="K6" s="47"/>
      <c r="L6" s="47"/>
      <c r="M6" s="48">
        <f>IFERROR(SUM('Income Statement'!J106:'Income Statement'!M106)/(MAX('Income Statement'!J10-'Income Statement'!I10,0)+MAX('Income Statement'!J25-'Income Statement'!I25,0)+MAX('Income Statement'!J38-'Income Statement'!I38,0)+MAX('Income Statement'!K10-'Income Statement'!J10,0)+MAX('Income Statement'!K25-'Income Statement'!J25,0)+MAX('Income Statement'!K38-'Income Statement'!J38,0)+MAX('Income Statement'!L10-'Income Statement'!K10,0)+MAX('Income Statement'!L25-'Income Statement'!K25,0)+MAX('Income Statement'!L38-'Income Statement'!K38,0)+MAX('Income Statement'!M10-'Income Statement'!L10,0)+MAX('Income Statement'!M25-'Income Statement'!L25,0)+MAX('Income Statement'!M38-'Income Statement'!L38,0)),"-")</f>
        <v>180.23255813953489</v>
      </c>
    </row>
    <row r="7" spans="1:14" ht="17.25" customHeight="1" x14ac:dyDescent="0.2">
      <c r="A7" s="46" t="s">
        <v>10</v>
      </c>
      <c r="B7" s="48">
        <f>IFERROR('Income Statement'!B96/('Income Statement'!B9+'Income Statement'!B25+'Income Statement'!B38),0)</f>
        <v>2.4397714285714285</v>
      </c>
      <c r="C7" s="48">
        <f>IFERROR('Income Statement'!C96/('Income Statement'!C9+'Income Statement'!C25+'Income Statement'!C38),0)</f>
        <v>2.6927529411764706</v>
      </c>
      <c r="D7" s="48">
        <f>IFERROR('Income Statement'!D96/('Income Statement'!D9+'Income Statement'!D25+'Income Statement'!D38),0)</f>
        <v>3.6529454545454545</v>
      </c>
      <c r="E7" s="48">
        <f>IFERROR('Income Statement'!E96/('Income Statement'!E9+'Income Statement'!E25+'Income Statement'!E38),0)</f>
        <v>3.5059384615384612</v>
      </c>
      <c r="F7" s="48">
        <f>IFERROR('Income Statement'!F96/('Income Statement'!F9+'Income Statement'!F25+'Income Statement'!F38),0)</f>
        <v>3.4439428571428574</v>
      </c>
      <c r="G7" s="48">
        <f>IFERROR('Income Statement'!G96/('Income Statement'!G9+'Income Statement'!G25+'Income Statement'!G38),0)</f>
        <v>3.3589470085470086</v>
      </c>
      <c r="H7" s="48">
        <f>IFERROR('Income Statement'!H96/('Income Statement'!H9+'Income Statement'!H25+'Income Statement'!H38),0)</f>
        <v>4.4050363636363636</v>
      </c>
      <c r="I7" s="48">
        <f>IFERROR('Income Statement'!I96/('Income Statement'!I9+'Income Statement'!I25+'Income Statement'!I38),0)</f>
        <v>5.6015292517006801</v>
      </c>
      <c r="J7" s="48">
        <f>IFERROR('Income Statement'!J96/('Income Statement'!J9+'Income Statement'!J25+'Income Statement'!J38),0)</f>
        <v>5.8587981042654027</v>
      </c>
      <c r="K7" s="48">
        <f>IFERROR('Income Statement'!K96/('Income Statement'!K9+'Income Statement'!K25+'Income Statement'!K38),0)</f>
        <v>6.71990553505535</v>
      </c>
      <c r="L7" s="48">
        <f>IFERROR('Income Statement'!L96/('Income Statement'!L9+'Income Statement'!L25+'Income Statement'!L38),0)</f>
        <v>7.9172553459119488</v>
      </c>
      <c r="M7" s="48">
        <f>IFERROR('Income Statement'!M96/('Income Statement'!M9+'Income Statement'!M25+'Income Statement'!M38),0)</f>
        <v>8.4479561357702355</v>
      </c>
    </row>
    <row r="8" spans="1:14" ht="17.25" customHeight="1" x14ac:dyDescent="0.2">
      <c r="A8" s="46" t="s">
        <v>11</v>
      </c>
      <c r="B8" s="48">
        <f>IFERROR('Income Statement'!B20/'Income Statement'!B9,0)</f>
        <v>80</v>
      </c>
      <c r="C8" s="48">
        <f>IFERROR('Income Statement'!C20/'Income Statement'!C9,0)</f>
        <v>80</v>
      </c>
      <c r="D8" s="48">
        <f>IFERROR('Income Statement'!D20/'Income Statement'!D9,0)</f>
        <v>95</v>
      </c>
      <c r="E8" s="48">
        <f>IFERROR('Income Statement'!E20/'Income Statement'!E9,0)</f>
        <v>110</v>
      </c>
      <c r="F8" s="48">
        <f>IFERROR('Income Statement'!F20/'Income Statement'!F9,0)</f>
        <v>117.5</v>
      </c>
      <c r="G8" s="48">
        <f>IFERROR('Income Statement'!G20/'Income Statement'!G9,0)</f>
        <v>125</v>
      </c>
      <c r="H8" s="48">
        <f>IFERROR('Income Statement'!H20/'Income Statement'!H9,0)</f>
        <v>174.8</v>
      </c>
      <c r="I8" s="48">
        <f>IFERROR('Income Statement'!I20/'Income Statement'!I9,0)</f>
        <v>216.4</v>
      </c>
      <c r="J8" s="48">
        <f>IFERROR('Income Statement'!J20/'Income Statement'!J9,0)</f>
        <v>258</v>
      </c>
      <c r="K8" s="48">
        <f>IFERROR('Income Statement'!K20/'Income Statement'!K9,0)</f>
        <v>311.2</v>
      </c>
      <c r="L8" s="48">
        <f>IFERROR('Income Statement'!L20/'Income Statement'!L9,0)</f>
        <v>394.4</v>
      </c>
      <c r="M8" s="48">
        <f>IFERROR('Income Statement'!M20/'Income Statement'!M9,0)</f>
        <v>494</v>
      </c>
    </row>
    <row r="9" spans="1:14" ht="17.25" customHeight="1" x14ac:dyDescent="0.2">
      <c r="A9" s="46" t="s">
        <v>12</v>
      </c>
      <c r="B9" s="48">
        <f>IFERROR('Income Statement'!B33/'Income Statement'!B25,0)</f>
        <v>86.5</v>
      </c>
      <c r="C9" s="48">
        <f>IFERROR('Income Statement'!C33/'Income Statement'!C25,0)</f>
        <v>89.78947368421052</v>
      </c>
      <c r="D9" s="48">
        <f>IFERROR('Income Statement'!D33/'Income Statement'!D25,0)</f>
        <v>93.444444444444443</v>
      </c>
      <c r="E9" s="48">
        <f>IFERROR('Income Statement'!E33/'Income Statement'!E25,0)</f>
        <v>57.783783783783782</v>
      </c>
      <c r="F9" s="48">
        <f>IFERROR('Income Statement'!F33/'Income Statement'!F25,0)</f>
        <v>46.727272727272727</v>
      </c>
      <c r="G9" s="48">
        <f>IFERROR('Income Statement'!G33/'Income Statement'!G25,0)</f>
        <v>41.361111111111114</v>
      </c>
      <c r="H9" s="48">
        <f>IFERROR('Income Statement'!H33/'Income Statement'!H25,0)</f>
        <v>43.31818181818182</v>
      </c>
      <c r="I9" s="48">
        <f>IFERROR('Income Statement'!I33/'Income Statement'!I25,0)</f>
        <v>41.78846153846154</v>
      </c>
      <c r="J9" s="48">
        <f>IFERROR('Income Statement'!J33/'Income Statement'!J25,0)</f>
        <v>38.388489208633096</v>
      </c>
      <c r="K9" s="48">
        <f>IFERROR('Income Statement'!K33/'Income Statement'!K25,0)</f>
        <v>35.5</v>
      </c>
      <c r="L9" s="48">
        <f>IFERROR('Income Statement'!L33/'Income Statement'!L25,0)</f>
        <v>33.986547085201792</v>
      </c>
      <c r="M9" s="48">
        <f>IFERROR('Income Statement'!M33/'Income Statement'!M25,0)</f>
        <v>34.472602739726028</v>
      </c>
    </row>
    <row r="10" spans="1:14" ht="17.25" customHeight="1" x14ac:dyDescent="0.2">
      <c r="A10" s="46" t="s">
        <v>13</v>
      </c>
      <c r="B10" s="48">
        <f>IFERROR('Income Statement'!B50/'Income Statement'!B38,0)</f>
        <v>0</v>
      </c>
      <c r="C10" s="48">
        <f>IFERROR('Income Statement'!C50/'Income Statement'!C38,0)</f>
        <v>0</v>
      </c>
      <c r="D10" s="48">
        <f>IFERROR('Income Statement'!D50/'Income Statement'!D38,0)</f>
        <v>0</v>
      </c>
      <c r="E10" s="48">
        <f>IFERROR('Income Statement'!E50/'Income Statement'!E38,0)</f>
        <v>0</v>
      </c>
      <c r="F10" s="48">
        <f>IFERROR('Income Statement'!F50/'Income Statement'!F38,0)</f>
        <v>0</v>
      </c>
      <c r="G10" s="48">
        <f>IFERROR('Income Statement'!G50/'Income Statement'!G38,0)</f>
        <v>372</v>
      </c>
      <c r="H10" s="48">
        <f>IFERROR('Income Statement'!H50/'Income Statement'!H38,0)</f>
        <v>411.65517241379308</v>
      </c>
      <c r="I10" s="48">
        <f>IFERROR('Income Statement'!I50/'Income Statement'!I38,0)</f>
        <v>454.14285714285717</v>
      </c>
      <c r="J10" s="48">
        <f>IFERROR('Income Statement'!J50/'Income Statement'!J38,0)</f>
        <v>248.31578947368422</v>
      </c>
      <c r="K10" s="48">
        <f>IFERROR('Income Statement'!K50/'Income Statement'!K38,0)</f>
        <v>299.57142857142856</v>
      </c>
      <c r="L10" s="48">
        <f>IFERROR('Income Statement'!L50/'Income Statement'!L38,0)</f>
        <v>323.5</v>
      </c>
      <c r="M10" s="48">
        <f>IFERROR('Income Statement'!M50/'Income Statement'!M38,0)</f>
        <v>349.94736842105266</v>
      </c>
    </row>
    <row r="11" spans="1:14" ht="17.25" customHeight="1" x14ac:dyDescent="0.2">
      <c r="A11" s="46" t="s">
        <v>14</v>
      </c>
      <c r="B11" s="48">
        <f t="shared" ref="B11:M11" si="0">B8-B7</f>
        <v>77.560228571428567</v>
      </c>
      <c r="C11" s="48">
        <f t="shared" si="0"/>
        <v>77.307247058823535</v>
      </c>
      <c r="D11" s="48">
        <f t="shared" si="0"/>
        <v>91.34705454545454</v>
      </c>
      <c r="E11" s="48">
        <f t="shared" si="0"/>
        <v>106.49406153846154</v>
      </c>
      <c r="F11" s="48">
        <f t="shared" si="0"/>
        <v>114.05605714285714</v>
      </c>
      <c r="G11" s="48">
        <f t="shared" si="0"/>
        <v>121.64105299145299</v>
      </c>
      <c r="H11" s="48">
        <f t="shared" si="0"/>
        <v>170.39496363636366</v>
      </c>
      <c r="I11" s="48">
        <f t="shared" si="0"/>
        <v>210.79847074829934</v>
      </c>
      <c r="J11" s="48">
        <f t="shared" si="0"/>
        <v>252.14120189573461</v>
      </c>
      <c r="K11" s="48">
        <f t="shared" si="0"/>
        <v>304.48009446494461</v>
      </c>
      <c r="L11" s="48">
        <f t="shared" si="0"/>
        <v>386.48274465408804</v>
      </c>
      <c r="M11" s="48">
        <f t="shared" si="0"/>
        <v>485.55204386422974</v>
      </c>
    </row>
    <row r="12" spans="1:14" ht="17.25" customHeight="1" x14ac:dyDescent="0.2">
      <c r="A12" s="46" t="s">
        <v>15</v>
      </c>
      <c r="B12" s="48">
        <f t="shared" ref="B12:M12" si="1">B9-B7</f>
        <v>84.060228571428567</v>
      </c>
      <c r="C12" s="48">
        <f t="shared" si="1"/>
        <v>87.096720743034055</v>
      </c>
      <c r="D12" s="48">
        <f t="shared" si="1"/>
        <v>89.791498989898983</v>
      </c>
      <c r="E12" s="48">
        <f t="shared" si="1"/>
        <v>54.277845322245319</v>
      </c>
      <c r="F12" s="48">
        <f t="shared" si="1"/>
        <v>43.283329870129869</v>
      </c>
      <c r="G12" s="48">
        <f t="shared" si="1"/>
        <v>38.002164102564109</v>
      </c>
      <c r="H12" s="48">
        <f t="shared" si="1"/>
        <v>38.913145454545457</v>
      </c>
      <c r="I12" s="48">
        <f t="shared" si="1"/>
        <v>36.186932286760857</v>
      </c>
      <c r="J12" s="48">
        <f t="shared" si="1"/>
        <v>32.529691104367693</v>
      </c>
      <c r="K12" s="48">
        <f t="shared" si="1"/>
        <v>28.78009446494465</v>
      </c>
      <c r="L12" s="48">
        <f t="shared" si="1"/>
        <v>26.069291739289845</v>
      </c>
      <c r="M12" s="48">
        <f t="shared" si="1"/>
        <v>26.024646603955794</v>
      </c>
    </row>
    <row r="13" spans="1:14" ht="17.25" customHeight="1" x14ac:dyDescent="0.2">
      <c r="A13" s="46" t="s">
        <v>16</v>
      </c>
      <c r="B13" s="48" t="str">
        <f>IF('Income Statement'!B38=0,"-",B10-B7)</f>
        <v>-</v>
      </c>
      <c r="C13" s="48" t="str">
        <f>IF('Income Statement'!C38=0,"-",C10-C7)</f>
        <v>-</v>
      </c>
      <c r="D13" s="48" t="str">
        <f>IF('Income Statement'!D38=0,"-",D10-D7)</f>
        <v>-</v>
      </c>
      <c r="E13" s="48" t="str">
        <f>IF('Income Statement'!E38=0,"-",E10-E7)</f>
        <v>-</v>
      </c>
      <c r="F13" s="48" t="str">
        <f>IF('Income Statement'!F38=0,"-",F10-F7)</f>
        <v>-</v>
      </c>
      <c r="G13" s="48">
        <f>IF('Income Statement'!G38=0,"-",G10-G7)</f>
        <v>368.64105299145297</v>
      </c>
      <c r="H13" s="48">
        <f>IF('Income Statement'!H38=0,"-",H10-H7)</f>
        <v>407.2501360501567</v>
      </c>
      <c r="I13" s="48">
        <f>IF('Income Statement'!I38=0,"-",I10-I7)</f>
        <v>448.54132789115647</v>
      </c>
      <c r="J13" s="48">
        <f>IF('Income Statement'!J38=0,"-",J10-J7)</f>
        <v>242.45699136941883</v>
      </c>
      <c r="K13" s="48">
        <f>IF('Income Statement'!K38=0,"-",K10-K7)</f>
        <v>292.85152303637318</v>
      </c>
      <c r="L13" s="48">
        <f>IF('Income Statement'!L38=0,"-",L10-L7)</f>
        <v>315.58274465408806</v>
      </c>
      <c r="M13" s="48">
        <f>IF('Income Statement'!M38=0,"-",M10-M7)</f>
        <v>341.4994122852824</v>
      </c>
    </row>
    <row r="14" spans="1:14" ht="17.25" customHeight="1" x14ac:dyDescent="0.2">
      <c r="A14" s="46" t="s">
        <v>17</v>
      </c>
      <c r="B14" s="48">
        <f>IFERROR(B11/'Key Assumptions'!C16,0)</f>
        <v>1551.2045714285712</v>
      </c>
      <c r="C14" s="48">
        <f>IFERROR(C11/'Key Assumptions'!C16,0)</f>
        <v>1546.1449411764706</v>
      </c>
      <c r="D14" s="48">
        <f>IFERROR(D11/'Key Assumptions'!C16,0)</f>
        <v>1826.9410909090907</v>
      </c>
      <c r="E14" s="48">
        <f>IFERROR(E11/'Key Assumptions'!C16,0)</f>
        <v>2129.8812307692306</v>
      </c>
      <c r="F14" s="48">
        <f>IFERROR(F11/'Key Assumptions'!C16,0)</f>
        <v>2281.1211428571428</v>
      </c>
      <c r="G14" s="48">
        <f>IFERROR(G11/'Key Assumptions'!C16,0)</f>
        <v>2432.8210598290598</v>
      </c>
      <c r="H14" s="48">
        <f>IFERROR(H11/'Key Assumptions'!C16,0)</f>
        <v>3407.899272727273</v>
      </c>
      <c r="I14" s="48">
        <f>IFERROR(I11/'Key Assumptions'!C16,0)</f>
        <v>4215.9694149659863</v>
      </c>
      <c r="J14" s="48">
        <f>IFERROR(J11/'Key Assumptions'!C16,0)</f>
        <v>5042.8240379146919</v>
      </c>
      <c r="K14" s="48">
        <f>IFERROR(K11/'Key Assumptions'!C16,0)</f>
        <v>6089.6018892988923</v>
      </c>
      <c r="L14" s="48">
        <f>IFERROR(L11/'Key Assumptions'!C16,0)</f>
        <v>7729.6548930817607</v>
      </c>
      <c r="M14" s="48">
        <f>IFERROR(M11/'Key Assumptions'!C16,0)</f>
        <v>9711.0408772845949</v>
      </c>
    </row>
    <row r="15" spans="1:14" ht="17.25" customHeight="1" x14ac:dyDescent="0.2">
      <c r="A15" s="46" t="s">
        <v>18</v>
      </c>
      <c r="B15" s="48">
        <f>IFERROR(B12/'Key Assumptions'!C16,0)</f>
        <v>1681.2045714285712</v>
      </c>
      <c r="C15" s="48">
        <f>IFERROR(C12/'Key Assumptions'!C16,0)</f>
        <v>1741.934414860681</v>
      </c>
      <c r="D15" s="48">
        <f>IFERROR(D12/'Key Assumptions'!C16,0)</f>
        <v>1795.8299797979796</v>
      </c>
      <c r="E15" s="48">
        <f>IFERROR(E12/'Key Assumptions'!C16,0)</f>
        <v>1085.5569064449064</v>
      </c>
      <c r="F15" s="48">
        <f>IFERROR(F12/'Key Assumptions'!C16,0)</f>
        <v>865.66659740259729</v>
      </c>
      <c r="G15" s="48">
        <f>IFERROR(G12/'Key Assumptions'!C16,0)</f>
        <v>760.04328205128218</v>
      </c>
      <c r="H15" s="48">
        <f>IFERROR(H12/'Key Assumptions'!C16,0)</f>
        <v>778.26290909090915</v>
      </c>
      <c r="I15" s="48">
        <f>IFERROR(I12/'Key Assumptions'!C16,0)</f>
        <v>723.73864573521712</v>
      </c>
      <c r="J15" s="48">
        <f>IFERROR(J12/'Key Assumptions'!C16,0)</f>
        <v>650.59382208735383</v>
      </c>
      <c r="K15" s="48">
        <f>IFERROR(K12/'Key Assumptions'!C16,0)</f>
        <v>575.60188929889296</v>
      </c>
      <c r="L15" s="48">
        <f>IFERROR(L12/'Key Assumptions'!C16,0)</f>
        <v>521.38583478579687</v>
      </c>
      <c r="M15" s="48">
        <f>IFERROR(M12/'Key Assumptions'!C16,0)</f>
        <v>520.4929320791158</v>
      </c>
    </row>
    <row r="16" spans="1:14" ht="17.25" customHeight="1" x14ac:dyDescent="0.2">
      <c r="A16" s="46" t="s">
        <v>19</v>
      </c>
      <c r="B16" s="48" t="str">
        <f>IF('Income Statement'!B38=0,"-",IFERROR(B13/'Key Assumptions'!C16,"-"))</f>
        <v>-</v>
      </c>
      <c r="C16" s="48" t="str">
        <f>IF('Income Statement'!C38=0,"-",IFERROR(C13/'Key Assumptions'!C16,"-"))</f>
        <v>-</v>
      </c>
      <c r="D16" s="48" t="str">
        <f>IF('Income Statement'!D38=0,"-",IFERROR(D13/'Key Assumptions'!C16,"-"))</f>
        <v>-</v>
      </c>
      <c r="E16" s="48" t="str">
        <f>IF('Income Statement'!E38=0,"-",IFERROR(E13/'Key Assumptions'!C16,"-"))</f>
        <v>-</v>
      </c>
      <c r="F16" s="48" t="str">
        <f>IF('Income Statement'!F38=0,"-",IFERROR(F13/'Key Assumptions'!C16,"-"))</f>
        <v>-</v>
      </c>
      <c r="G16" s="48">
        <f>IF('Income Statement'!G38=0,"-",IFERROR(G13/'Key Assumptions'!C16,"-"))</f>
        <v>7372.8210598290589</v>
      </c>
      <c r="H16" s="48">
        <f>IF('Income Statement'!H38=0,"-",IFERROR(H13/'Key Assumptions'!C16,"-"))</f>
        <v>8145.002721003134</v>
      </c>
      <c r="I16" s="48">
        <f>IF('Income Statement'!I38=0,"-",IFERROR(I13/'Key Assumptions'!C16,"-"))</f>
        <v>8970.8265578231294</v>
      </c>
      <c r="J16" s="48">
        <f>IF('Income Statement'!J38=0,"-",IFERROR(J13/'Key Assumptions'!C16,"-"))</f>
        <v>4849.139827388376</v>
      </c>
      <c r="K16" s="48">
        <f>IF('Income Statement'!K38=0,"-",IFERROR(K13/'Key Assumptions'!C16,"-"))</f>
        <v>5857.0304607274629</v>
      </c>
      <c r="L16" s="48">
        <f>IF('Income Statement'!L38=0,"-",IFERROR(L13/'Key Assumptions'!C16,"-"))</f>
        <v>6311.6548930817607</v>
      </c>
      <c r="M16" s="48">
        <f>IF('Income Statement'!M38=0,"-",IFERROR(M13/'Key Assumptions'!C16,"-"))</f>
        <v>6829.9882457056474</v>
      </c>
    </row>
    <row r="17" spans="1:13" ht="17.25" customHeight="1" x14ac:dyDescent="0.2">
      <c r="A17" s="46" t="s">
        <v>20</v>
      </c>
      <c r="B17" s="48" t="str">
        <f t="shared" ref="B17:M17" si="2">IFERROR(B14/B5,"-")</f>
        <v>-</v>
      </c>
      <c r="C17" s="48" t="str">
        <f t="shared" si="2"/>
        <v>-</v>
      </c>
      <c r="D17" s="48" t="str">
        <f t="shared" si="2"/>
        <v>-</v>
      </c>
      <c r="E17" s="48">
        <f t="shared" si="2"/>
        <v>61.766555692307684</v>
      </c>
      <c r="F17" s="48">
        <f t="shared" si="2"/>
        <v>52.46578628571428</v>
      </c>
      <c r="G17" s="48">
        <f t="shared" si="2"/>
        <v>63.253347555555557</v>
      </c>
      <c r="H17" s="48">
        <f t="shared" si="2"/>
        <v>9.0877313939393947</v>
      </c>
      <c r="I17" s="48">
        <f t="shared" si="2"/>
        <v>26.395634598047913</v>
      </c>
      <c r="J17" s="48">
        <f t="shared" si="2"/>
        <v>30.807070486169753</v>
      </c>
      <c r="K17" s="48">
        <f t="shared" si="2"/>
        <v>27.446093022192191</v>
      </c>
      <c r="L17" s="48">
        <f t="shared" si="2"/>
        <v>41.993945986294939</v>
      </c>
      <c r="M17" s="48">
        <f t="shared" si="2"/>
        <v>62.856919132969381</v>
      </c>
    </row>
    <row r="18" spans="1:13" ht="17.25" customHeight="1" x14ac:dyDescent="0.2">
      <c r="A18" s="46" t="s">
        <v>21</v>
      </c>
      <c r="B18" s="48" t="str">
        <f t="shared" ref="B18:M18" si="3">IFERROR(B15/B5,"-")</f>
        <v>-</v>
      </c>
      <c r="C18" s="48" t="str">
        <f t="shared" si="3"/>
        <v>-</v>
      </c>
      <c r="D18" s="48" t="str">
        <f t="shared" si="3"/>
        <v>-</v>
      </c>
      <c r="E18" s="48">
        <f t="shared" si="3"/>
        <v>31.481150286902285</v>
      </c>
      <c r="F18" s="48">
        <f t="shared" si="3"/>
        <v>19.910331740259736</v>
      </c>
      <c r="G18" s="48">
        <f t="shared" si="3"/>
        <v>19.761125333333336</v>
      </c>
      <c r="H18" s="48">
        <f t="shared" si="3"/>
        <v>2.0753677575757576</v>
      </c>
      <c r="I18" s="48">
        <f t="shared" si="3"/>
        <v>4.5312332602552718</v>
      </c>
      <c r="J18" s="48">
        <f t="shared" si="3"/>
        <v>3.9745368040245612</v>
      </c>
      <c r="K18" s="48">
        <f t="shared" si="3"/>
        <v>2.5942620362767008</v>
      </c>
      <c r="L18" s="48">
        <f t="shared" si="3"/>
        <v>2.8326036397317917</v>
      </c>
      <c r="M18" s="48">
        <f t="shared" si="3"/>
        <v>3.3690087967302769</v>
      </c>
    </row>
    <row r="19" spans="1:13" ht="17.25" customHeight="1" x14ac:dyDescent="0.2">
      <c r="A19" s="46" t="s">
        <v>22</v>
      </c>
      <c r="B19" s="48" t="str">
        <f t="shared" ref="B19:M19" si="4">IF(B16="-","-",IF(B5="-","-",IFERROR(B16/B5,"-")))</f>
        <v>-</v>
      </c>
      <c r="C19" s="48" t="str">
        <f t="shared" si="4"/>
        <v>-</v>
      </c>
      <c r="D19" s="48" t="str">
        <f t="shared" si="4"/>
        <v>-</v>
      </c>
      <c r="E19" s="48" t="str">
        <f t="shared" si="4"/>
        <v>-</v>
      </c>
      <c r="F19" s="48" t="str">
        <f t="shared" si="4"/>
        <v>-</v>
      </c>
      <c r="G19" s="48">
        <f t="shared" si="4"/>
        <v>191.69334755555553</v>
      </c>
      <c r="H19" s="48">
        <f t="shared" si="4"/>
        <v>21.720007256008358</v>
      </c>
      <c r="I19" s="48">
        <f t="shared" si="4"/>
        <v>56.165174970718724</v>
      </c>
      <c r="J19" s="48">
        <f t="shared" si="4"/>
        <v>29.623836036408985</v>
      </c>
      <c r="K19" s="48">
        <f t="shared" si="4"/>
        <v>26.397883766658989</v>
      </c>
      <c r="L19" s="48">
        <f t="shared" si="4"/>
        <v>34.290184792265087</v>
      </c>
      <c r="M19" s="48">
        <f t="shared" si="4"/>
        <v>44.208651190385645</v>
      </c>
    </row>
    <row r="20" spans="1:13" ht="17.25" customHeight="1" x14ac:dyDescent="0.2">
      <c r="A20" s="46" t="s">
        <v>23</v>
      </c>
      <c r="B20" s="48" t="str">
        <f>IF('Income Statement'!B106=0,"-",IFERROR('Income Statement'!B106/('Account Waterfall'!B7+'Account Waterfall'!B12+'Account Waterfall'!B17),"-"))</f>
        <v>-</v>
      </c>
      <c r="C20" s="48" t="str">
        <f>IF('Income Statement'!C106=0,"-",IFERROR('Income Statement'!C106/('Account Waterfall'!C7+'Account Waterfall'!C12+'Account Waterfall'!C17),"-"))</f>
        <v>-</v>
      </c>
      <c r="D20" s="48" t="str">
        <f>IF('Income Statement'!D106=0,"-",IFERROR('Income Statement'!D106/('Account Waterfall'!D7+'Account Waterfall'!D12+'Account Waterfall'!D17),"-"))</f>
        <v>-</v>
      </c>
      <c r="E20" s="48">
        <f>IF('Income Statement'!E106=0,"-",IFERROR('Income Statement'!E106/('Account Waterfall'!E7+'Account Waterfall'!E12+'Account Waterfall'!E17),"-"))</f>
        <v>500</v>
      </c>
      <c r="F20" s="48">
        <f>IF('Income Statement'!F106=0,"-",IFERROR('Income Statement'!F106/('Account Waterfall'!F7+'Account Waterfall'!F12+'Account Waterfall'!F17),"-"))</f>
        <v>500</v>
      </c>
      <c r="G20" s="48">
        <f>IF('Income Statement'!G106=0,"-",IFERROR('Income Statement'!G106/('Account Waterfall'!G7+'Account Waterfall'!G12+'Account Waterfall'!G17),"-"))</f>
        <v>666.66666666666663</v>
      </c>
      <c r="H20" s="48">
        <f>IF('Income Statement'!H106=0,"-",IFERROR('Income Statement'!H106/('Account Waterfall'!H7+'Account Waterfall'!H12+'Account Waterfall'!H17),"-"))</f>
        <v>4875</v>
      </c>
      <c r="I20" s="48">
        <f>IF('Income Statement'!I106=0,"-",IFERROR('Income Statement'!I106/('Account Waterfall'!I7+'Account Waterfall'!I12+'Account Waterfall'!I17),"-"))</f>
        <v>1916.6666666666667</v>
      </c>
      <c r="J20" s="48">
        <f>IF('Income Statement'!J106=0,"-",IFERROR('Income Statement'!J106/('Account Waterfall'!J7+'Account Waterfall'!J12+'Account Waterfall'!J17),"-"))</f>
        <v>2750</v>
      </c>
      <c r="K20" s="48">
        <f>IF('Income Statement'!K106=0,"-",IFERROR('Income Statement'!K106/('Account Waterfall'!K7+'Account Waterfall'!K12+'Account Waterfall'!K17),"-"))</f>
        <v>3550</v>
      </c>
      <c r="L20" s="48">
        <f>IF('Income Statement'!L106=0,"-",IFERROR('Income Statement'!L106/('Account Waterfall'!L7+'Account Waterfall'!L12+'Account Waterfall'!L17),"-"))</f>
        <v>2791.6666666666665</v>
      </c>
      <c r="M20" s="48">
        <f>IF('Income Statement'!M106=0,"-",IFERROR('Income Statement'!M106/('Account Waterfall'!M7+'Account Waterfall'!M12+'Account Waterfall'!M17),"-"))</f>
        <v>2291.6666666666665</v>
      </c>
    </row>
    <row r="21" spans="1:13" ht="17.25" customHeight="1" x14ac:dyDescent="0.2">
      <c r="A21" s="46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</row>
    <row r="22" spans="1:13" ht="22" customHeight="1" x14ac:dyDescent="0.2">
      <c r="A22" s="80" t="s">
        <v>435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</row>
    <row r="23" spans="1:13" ht="18" customHeight="1" x14ac:dyDescent="0.2">
      <c r="A23" s="50" t="s">
        <v>24</v>
      </c>
      <c r="B23" s="90">
        <f>IFERROR(1-'Income Statement'!B96/'Income Statement'!B52,0)</f>
        <v>0.97085597269624568</v>
      </c>
      <c r="C23" s="90">
        <f>IFERROR(1-'Income Statement'!C96/'Income Statement'!C52,0)</f>
        <v>0.96849497591190636</v>
      </c>
      <c r="D23" s="90">
        <f>IFERROR(1-'Income Statement'!D96/'Income Statement'!D52,0)</f>
        <v>0.96120141615706467</v>
      </c>
      <c r="E23" s="90">
        <f>IFERROR(1-'Income Statement'!E96/'Income Statement'!E52,0)</f>
        <v>0.95187201689545931</v>
      </c>
      <c r="F23" s="90">
        <f>IFERROR(1-'Income Statement'!F96/'Income Statement'!F52,0)</f>
        <v>0.94435637622619739</v>
      </c>
      <c r="G23" s="90">
        <f>IFERROR(1-'Income Statement'!G96/'Income Statement'!G52,0)</f>
        <v>0.97545764066695806</v>
      </c>
      <c r="H23" s="90">
        <f>IFERROR(1-'Income Statement'!H96/'Income Statement'!H52,0)</f>
        <v>0.96835048987589811</v>
      </c>
      <c r="I23" s="90">
        <f>IFERROR(1-'Income Statement'!I96/'Income Statement'!I52,0)</f>
        <v>0.95945318101240895</v>
      </c>
      <c r="J23" s="90">
        <f>IFERROR(1-'Income Statement'!J96/'Income Statement'!J52,0)</f>
        <v>0.94708020547945204</v>
      </c>
      <c r="K23" s="90">
        <f>IFERROR(1-'Income Statement'!K96/'Income Statement'!K52,0)</f>
        <v>0.94932677388836328</v>
      </c>
      <c r="L23" s="90">
        <f>IFERROR(1-'Income Statement'!L96/'Income Statement'!L52,0)</f>
        <v>0.93605873777777782</v>
      </c>
      <c r="M23" s="90">
        <f>IFERROR(1-'Income Statement'!M96/'Income Statement'!M52,0)</f>
        <v>0.92658451624614269</v>
      </c>
    </row>
    <row r="24" spans="1:13" ht="19" customHeight="1" x14ac:dyDescent="0.2">
      <c r="A24" s="49" t="s">
        <v>25</v>
      </c>
      <c r="B24" s="113">
        <f>IFERROR('Income Statement'!B52/(('Account Waterfall'!B9+'Account Waterfall'!B14+'Account Waterfall'!B19)/3),"-")</f>
        <v>4395</v>
      </c>
      <c r="C24" s="113">
        <f>IFERROR('Income Statement'!C52/(('Account Waterfall'!C9+'Account Waterfall'!C14+'Account Waterfall'!C19)/3),"-")</f>
        <v>4359</v>
      </c>
      <c r="D24" s="113">
        <f>IFERROR('Income Statement'!D52/(('Account Waterfall'!D9+'Account Waterfall'!D14+'Account Waterfall'!D19)/3),"-")</f>
        <v>3107</v>
      </c>
      <c r="E24" s="113">
        <f>IFERROR('Income Statement'!E52/(('Account Waterfall'!E9+'Account Waterfall'!E14+'Account Waterfall'!E19)/3),"-")</f>
        <v>2272.7999999999997</v>
      </c>
      <c r="F24" s="113">
        <f>IFERROR('Income Statement'!F52/(('Account Waterfall'!F9+'Account Waterfall'!F14+'Account Waterfall'!F19)/3),"-")</f>
        <v>1856.7857142857142</v>
      </c>
      <c r="G24" s="113">
        <f>IFERROR('Income Statement'!G52/(('Account Waterfall'!G9+'Account Waterfall'!G14+'Account Waterfall'!G19)/3),"-")</f>
        <v>4803.8999999999996</v>
      </c>
      <c r="H24" s="113">
        <f>IFERROR('Income Statement'!H52/(('Account Waterfall'!H9+'Account Waterfall'!H14+'Account Waterfall'!H19)/3),"-")</f>
        <v>4593</v>
      </c>
      <c r="I24" s="113">
        <f>IFERROR('Income Statement'!I52/(('Account Waterfall'!I9+'Account Waterfall'!I14+'Account Waterfall'!I19)/3),"-")</f>
        <v>4061.6</v>
      </c>
      <c r="J24" s="113">
        <f>IFERROR('Income Statement'!J52/(('Account Waterfall'!J9+'Account Waterfall'!J14+'Account Waterfall'!J19)/3),"-")</f>
        <v>3504</v>
      </c>
      <c r="K24" s="113">
        <f>IFERROR('Income Statement'!K52/(('Account Waterfall'!K9+'Account Waterfall'!K14+'Account Waterfall'!K19)/3),"-")</f>
        <v>4492.25</v>
      </c>
      <c r="L24" s="113">
        <f>IFERROR('Income Statement'!L52/(('Account Waterfall'!L9+'Account Waterfall'!L14+'Account Waterfall'!L19)/3),"-")</f>
        <v>4218.75</v>
      </c>
      <c r="M24" s="113">
        <f>IFERROR('Income Statement'!M52/(('Account Waterfall'!M9+'Account Waterfall'!M14+'Account Waterfall'!M19)/3),"-")</f>
        <v>4131.75</v>
      </c>
    </row>
    <row r="25" spans="1:13" ht="18" customHeight="1" x14ac:dyDescent="0.2">
      <c r="A25" s="50" t="s">
        <v>26</v>
      </c>
      <c r="B25" s="50" t="str">
        <f t="shared" ref="B25:M25" si="5">IF(B20="-","-",IF(B24="-","-",IFERROR(B20/(B24*B23),"-")))</f>
        <v>-</v>
      </c>
      <c r="C25" s="50" t="str">
        <f t="shared" si="5"/>
        <v>-</v>
      </c>
      <c r="D25" s="50" t="str">
        <f t="shared" si="5"/>
        <v>-</v>
      </c>
      <c r="E25" s="48">
        <f t="shared" si="5"/>
        <v>0.23111611258704945</v>
      </c>
      <c r="F25" s="50">
        <f t="shared" si="5"/>
        <v>0.28514929439399744</v>
      </c>
      <c r="G25" s="50">
        <f t="shared" si="5"/>
        <v>0.14226771875579527</v>
      </c>
      <c r="H25" s="50">
        <f t="shared" si="5"/>
        <v>1.0960884414539704</v>
      </c>
      <c r="I25" s="48">
        <f t="shared" si="5"/>
        <v>0.49184204607824</v>
      </c>
      <c r="J25" s="50">
        <f t="shared" si="5"/>
        <v>0.82867041994702639</v>
      </c>
      <c r="K25" s="50">
        <f t="shared" si="5"/>
        <v>0.83243188385760292</v>
      </c>
      <c r="L25" s="50">
        <f t="shared" si="5"/>
        <v>0.70693041831187309</v>
      </c>
      <c r="M25" s="48">
        <f t="shared" si="5"/>
        <v>0.59859401932003331</v>
      </c>
    </row>
    <row r="27" spans="1:13" x14ac:dyDescent="0.2">
      <c r="A27" s="50" t="s">
        <v>27</v>
      </c>
      <c r="B27" s="90" t="str">
        <f>IFERROR('ARR Waterfall'!B27,"-")</f>
        <v>-</v>
      </c>
      <c r="C27" s="90">
        <f>IFERROR('ARR Waterfall'!C27,"-")</f>
        <v>1.0124126268320182</v>
      </c>
      <c r="D27" s="90">
        <f>IFERROR('ARR Waterfall'!D27,"-")</f>
        <v>1.0107921960779949</v>
      </c>
      <c r="E27" s="90">
        <f>IFERROR('ARR Waterfall'!E27,"-")</f>
        <v>0.99317312524289092</v>
      </c>
      <c r="F27" s="90">
        <f>IFERROR('ARR Waterfall'!F27,"-")</f>
        <v>0.98219287984510839</v>
      </c>
      <c r="G27" s="90">
        <f>IFERROR('ARR Waterfall'!G27,"-")</f>
        <v>0.9776497673813076</v>
      </c>
      <c r="H27" s="90">
        <f>IFERROR('ARR Waterfall'!H27,"-")</f>
        <v>1.0271926410372056</v>
      </c>
      <c r="I27" s="90">
        <f>IFERROR('ARR Waterfall'!I27,"-")</f>
        <v>1.0229668938943155</v>
      </c>
      <c r="J27" s="90">
        <f>IFERROR('ARR Waterfall'!J27,"-")</f>
        <v>1.0158456226501846</v>
      </c>
      <c r="K27" s="90">
        <f>IFERROR('ARR Waterfall'!K27,"-")</f>
        <v>1.0008575609222039</v>
      </c>
      <c r="L27" s="90">
        <f>IFERROR('ARR Waterfall'!L27,"-")</f>
        <v>1.0120983777656032</v>
      </c>
      <c r="M27" s="90">
        <f>IFERROR('ARR Waterfall'!M27,"-")</f>
        <v>1.0064418996032951</v>
      </c>
    </row>
    <row r="28" spans="1:13" x14ac:dyDescent="0.2">
      <c r="A28" s="50" t="s">
        <v>28</v>
      </c>
      <c r="B28" s="90">
        <f>'Key Assumptions'!C16</f>
        <v>0.05</v>
      </c>
      <c r="C28" s="90">
        <f>'Key Assumptions'!C16</f>
        <v>0.05</v>
      </c>
      <c r="D28" s="90">
        <f>'Key Assumptions'!C16</f>
        <v>0.05</v>
      </c>
      <c r="E28" s="90">
        <f>'Key Assumptions'!C16</f>
        <v>0.05</v>
      </c>
      <c r="F28" s="90">
        <f>'Key Assumptions'!C16</f>
        <v>0.05</v>
      </c>
      <c r="G28" s="90">
        <f>'Key Assumptions'!C16</f>
        <v>0.05</v>
      </c>
      <c r="H28" s="90">
        <f>'Key Assumptions'!C16</f>
        <v>0.05</v>
      </c>
      <c r="I28" s="90">
        <f>'Key Assumptions'!C16</f>
        <v>0.05</v>
      </c>
      <c r="J28" s="90">
        <f>'Key Assumptions'!C16</f>
        <v>0.05</v>
      </c>
      <c r="K28" s="90">
        <f>'Key Assumptions'!C16</f>
        <v>0.05</v>
      </c>
      <c r="L28" s="90">
        <f>'Key Assumptions'!C16</f>
        <v>0.05</v>
      </c>
      <c r="M28" s="90">
        <f>'Key Assumptions'!C16</f>
        <v>0.05</v>
      </c>
    </row>
    <row r="30" spans="1:13" x14ac:dyDescent="0.2">
      <c r="A30" s="50" t="s">
        <v>29</v>
      </c>
      <c r="B30" s="50">
        <f>IFERROR('ARR Waterfall'!B6/'Account Waterfall'!B9,"-")</f>
        <v>4800</v>
      </c>
      <c r="C30" s="50">
        <f>IFERROR('ARR Waterfall'!C6/'Account Waterfall'!C9,"-")</f>
        <v>4800</v>
      </c>
      <c r="D30" s="50">
        <f>IFERROR('ARR Waterfall'!D6/'Account Waterfall'!D9,"-")</f>
        <v>2850</v>
      </c>
      <c r="E30" s="50">
        <f>IFERROR('ARR Waterfall'!E6/'Account Waterfall'!E9,"-")</f>
        <v>2200</v>
      </c>
      <c r="F30" s="50">
        <f>IFERROR('ARR Waterfall'!F6/'Account Waterfall'!F9,"-")</f>
        <v>1762.5</v>
      </c>
      <c r="G30" s="50">
        <f>IFERROR('ARR Waterfall'!G6/'Account Waterfall'!G9,"-")</f>
        <v>1500</v>
      </c>
      <c r="H30" s="50">
        <f>IFERROR('ARR Waterfall'!H6/'Account Waterfall'!H9,"-")</f>
        <v>1748</v>
      </c>
      <c r="I30" s="50">
        <f>IFERROR('ARR Waterfall'!I6/'Account Waterfall'!I9,"-")</f>
        <v>1623</v>
      </c>
      <c r="J30" s="50">
        <f>IFERROR('ARR Waterfall'!J6/'Account Waterfall'!J9,"-")</f>
        <v>1548</v>
      </c>
      <c r="K30" s="50">
        <f>IFERROR('ARR Waterfall'!K6/'Account Waterfall'!K9,"-")</f>
        <v>1697.4545454545455</v>
      </c>
      <c r="L30" s="50">
        <f>IFERROR('ARR Waterfall'!L6/'Account Waterfall'!L9,"-")</f>
        <v>1820.3076923076924</v>
      </c>
      <c r="M30" s="50">
        <f>IFERROR('ARR Waterfall'!M6/'Account Waterfall'!M9,"-")</f>
        <v>2117.1428571428573</v>
      </c>
    </row>
    <row r="31" spans="1:13" x14ac:dyDescent="0.2">
      <c r="A31" s="50" t="s">
        <v>30</v>
      </c>
      <c r="B31" s="50">
        <f>IFERROR('ARR Waterfall'!B7/'Account Waterfall'!B14,"-")</f>
        <v>6920</v>
      </c>
      <c r="C31" s="50">
        <f>IFERROR('ARR Waterfall'!C7/'Account Waterfall'!C14,"-")</f>
        <v>6824</v>
      </c>
      <c r="D31" s="50">
        <f>IFERROR('ARR Waterfall'!D7/'Account Waterfall'!D14,"-")</f>
        <v>6728</v>
      </c>
      <c r="E31" s="50">
        <f>IFERROR('ARR Waterfall'!E7/'Account Waterfall'!E14,"-")</f>
        <v>4276</v>
      </c>
      <c r="F31" s="50">
        <f>IFERROR('ARR Waterfall'!F7/'Account Waterfall'!F14,"-")</f>
        <v>3426.6666666666665</v>
      </c>
      <c r="G31" s="50">
        <f>IFERROR('ARR Waterfall'!G7/'Account Waterfall'!G14,"-")</f>
        <v>2978</v>
      </c>
      <c r="H31" s="50">
        <f>IFERROR('ARR Waterfall'!H7/'Account Waterfall'!H14,"-")</f>
        <v>3049.6</v>
      </c>
      <c r="I31" s="50">
        <f>IFERROR('ARR Waterfall'!I7/'Account Waterfall'!I14,"-")</f>
        <v>2897.3333333333335</v>
      </c>
      <c r="J31" s="50">
        <f>IFERROR('ARR Waterfall'!J7/'Account Waterfall'!J14,"-")</f>
        <v>2668</v>
      </c>
      <c r="K31" s="50">
        <f>IFERROR('ARR Waterfall'!K7/'Account Waterfall'!K14,"-")</f>
        <v>2442.4</v>
      </c>
      <c r="L31" s="50">
        <f>IFERROR('ARR Waterfall'!L7/'Account Waterfall'!L14,"-")</f>
        <v>2526.3333333333335</v>
      </c>
      <c r="M31" s="50">
        <f>IFERROR('ARR Waterfall'!M7/'Account Waterfall'!M14,"-")</f>
        <v>2684.2666666666669</v>
      </c>
    </row>
    <row r="32" spans="1:13" x14ac:dyDescent="0.2">
      <c r="A32" s="50" t="s">
        <v>31</v>
      </c>
      <c r="B32" s="50" t="str">
        <f>IFERROR('ARR Waterfall'!B8/'Account Waterfall'!B19,"-")</f>
        <v>-</v>
      </c>
      <c r="C32" s="50" t="str">
        <f>IFERROR('ARR Waterfall'!C8/'Account Waterfall'!C19,"-")</f>
        <v>-</v>
      </c>
      <c r="D32" s="50" t="str">
        <f>IFERROR('ARR Waterfall'!D8/'Account Waterfall'!D19,"-")</f>
        <v>-</v>
      </c>
      <c r="E32" s="50" t="str">
        <f>IFERROR('ARR Waterfall'!E8/'Account Waterfall'!E19,"-")</f>
        <v>-</v>
      </c>
      <c r="F32" s="50" t="str">
        <f>IFERROR('ARR Waterfall'!F8/'Account Waterfall'!F19,"-")</f>
        <v>-</v>
      </c>
      <c r="G32" s="50">
        <f>IFERROR('ARR Waterfall'!G8/'Account Waterfall'!G19,"-")</f>
        <v>44640</v>
      </c>
      <c r="H32" s="50">
        <f>IFERROR('ARR Waterfall'!H8/'Account Waterfall'!H19,"-")</f>
        <v>47752</v>
      </c>
      <c r="I32" s="50">
        <f>IFERROR('ARR Waterfall'!I8/'Account Waterfall'!I19,"-")</f>
        <v>50864</v>
      </c>
      <c r="J32" s="50">
        <f>IFERROR('ARR Waterfall'!J8/'Account Waterfall'!J19,"-")</f>
        <v>28308</v>
      </c>
      <c r="K32" s="50">
        <f>IFERROR('ARR Waterfall'!K8/'Account Waterfall'!K19,"-")</f>
        <v>33552</v>
      </c>
      <c r="L32" s="50">
        <f>IFERROR('ARR Waterfall'!L8/'Account Waterfall'!L19,"-")</f>
        <v>34506.666666666664</v>
      </c>
      <c r="M32" s="50">
        <f>IFERROR('ARR Waterfall'!M8/'Account Waterfall'!M19,"-")</f>
        <v>35461.333333333336</v>
      </c>
    </row>
    <row r="34" spans="1:1" ht="19" x14ac:dyDescent="0.25">
      <c r="A34" s="112" t="s">
        <v>437</v>
      </c>
    </row>
    <row r="35" spans="1:1" ht="19" x14ac:dyDescent="0.25">
      <c r="A35" s="112" t="s">
        <v>32</v>
      </c>
    </row>
    <row r="36" spans="1:1" ht="19" x14ac:dyDescent="0.25">
      <c r="A36" s="112" t="s">
        <v>33</v>
      </c>
    </row>
    <row r="37" spans="1:1" ht="19" x14ac:dyDescent="0.25">
      <c r="A37" s="112" t="s">
        <v>34</v>
      </c>
    </row>
    <row r="38" spans="1:1" ht="19" x14ac:dyDescent="0.25">
      <c r="A38" s="112" t="s">
        <v>35</v>
      </c>
    </row>
    <row r="39" spans="1:1" ht="19" x14ac:dyDescent="0.25">
      <c r="A39" s="112" t="s">
        <v>36</v>
      </c>
    </row>
    <row r="40" spans="1:1" ht="19" x14ac:dyDescent="0.25">
      <c r="A40" s="112" t="s">
        <v>37</v>
      </c>
    </row>
  </sheetData>
  <mergeCells count="5">
    <mergeCell ref="A1:M1"/>
    <mergeCell ref="F3:I3"/>
    <mergeCell ref="J3:M3"/>
    <mergeCell ref="B3:E3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4"/>
  <sheetViews>
    <sheetView zoomScale="75" zoomScaleNormal="100" workbookViewId="0">
      <selection activeCell="B70" sqref="B70"/>
    </sheetView>
  </sheetViews>
  <sheetFormatPr baseColWidth="10" defaultColWidth="8.5" defaultRowHeight="18" x14ac:dyDescent="0.2"/>
  <cols>
    <col min="1" max="1" width="96.1640625" style="50" customWidth="1"/>
    <col min="2" max="2" width="19.6640625" style="50" customWidth="1"/>
    <col min="3" max="3" width="16.33203125" style="50" customWidth="1"/>
    <col min="4" max="4" width="16.83203125" style="50" customWidth="1"/>
    <col min="5" max="5" width="15.33203125" style="50" customWidth="1"/>
    <col min="6" max="6" width="16.6640625" style="50" customWidth="1"/>
    <col min="7" max="7" width="16.33203125" style="50" customWidth="1"/>
    <col min="8" max="8" width="15.83203125" style="50" customWidth="1"/>
    <col min="9" max="9" width="18.6640625" style="50" customWidth="1"/>
    <col min="10" max="10" width="19.83203125" style="50" customWidth="1"/>
    <col min="11" max="11" width="15.1640625" style="50" customWidth="1"/>
    <col min="12" max="12" width="16.6640625" style="50" customWidth="1"/>
    <col min="13" max="13" width="19.33203125" style="50" customWidth="1"/>
    <col min="14" max="14" width="52.33203125" style="50" customWidth="1"/>
    <col min="15" max="15" width="36.83203125" style="50" customWidth="1"/>
    <col min="16" max="16" width="35.5" style="50" customWidth="1"/>
    <col min="17" max="18" width="10.83203125" style="50" customWidth="1"/>
    <col min="19" max="19" width="8.5" style="50" customWidth="1"/>
    <col min="20" max="16384" width="8.5" style="50"/>
  </cols>
  <sheetData>
    <row r="1" spans="1:13" ht="15.75" customHeight="1" x14ac:dyDescent="0.2">
      <c r="A1" s="106" t="s">
        <v>274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</row>
    <row r="2" spans="1:13" ht="15" customHeight="1" x14ac:dyDescent="0.2">
      <c r="B2" s="106" t="s">
        <v>1</v>
      </c>
      <c r="C2" s="107"/>
      <c r="D2" s="107"/>
      <c r="E2" s="107"/>
      <c r="F2" s="106" t="s">
        <v>2</v>
      </c>
      <c r="G2" s="107"/>
      <c r="H2" s="107"/>
      <c r="I2" s="107"/>
      <c r="J2" s="106" t="s">
        <v>3</v>
      </c>
      <c r="K2" s="107"/>
      <c r="L2" s="107"/>
      <c r="M2" s="107"/>
    </row>
    <row r="3" spans="1:13" ht="15" customHeight="1" x14ac:dyDescent="0.2">
      <c r="B3" s="52" t="s">
        <v>4</v>
      </c>
      <c r="C3" s="52" t="s">
        <v>5</v>
      </c>
      <c r="D3" s="52" t="s">
        <v>6</v>
      </c>
      <c r="E3" s="52" t="s">
        <v>7</v>
      </c>
      <c r="F3" s="52" t="s">
        <v>4</v>
      </c>
      <c r="G3" s="52" t="s">
        <v>5</v>
      </c>
      <c r="H3" s="52" t="s">
        <v>6</v>
      </c>
      <c r="I3" s="52" t="s">
        <v>7</v>
      </c>
      <c r="J3" s="52" t="s">
        <v>4</v>
      </c>
      <c r="K3" s="52" t="s">
        <v>5</v>
      </c>
      <c r="L3" s="52" t="s">
        <v>6</v>
      </c>
      <c r="M3" s="52" t="s">
        <v>7</v>
      </c>
    </row>
    <row r="4" spans="1:13" ht="15" customHeight="1" x14ac:dyDescent="0.2">
      <c r="A4" s="52" t="s">
        <v>275</v>
      </c>
    </row>
    <row r="5" spans="1:13" ht="15" customHeight="1" x14ac:dyDescent="0.2">
      <c r="A5" s="52" t="s">
        <v>276</v>
      </c>
    </row>
    <row r="6" spans="1:13" ht="15" customHeight="1" x14ac:dyDescent="0.2">
      <c r="A6" s="55" t="s">
        <v>277</v>
      </c>
      <c r="B6" s="56">
        <f>'Cash Flow'!B31</f>
        <v>169049.60800000001</v>
      </c>
      <c r="C6" s="56">
        <f>'Cash Flow'!C31</f>
        <v>154458.05440000002</v>
      </c>
      <c r="D6" s="56">
        <f>'Cash Flow'!D31</f>
        <v>163227.50720000002</v>
      </c>
      <c r="E6" s="56">
        <f>'Cash Flow'!E31</f>
        <v>156415.19840000002</v>
      </c>
      <c r="F6" s="56">
        <f>'Cash Flow'!F31</f>
        <v>139394.12240000002</v>
      </c>
      <c r="G6" s="56">
        <f>'Cash Flow'!G31</f>
        <v>200631.12560000003</v>
      </c>
      <c r="H6" s="56">
        <f>'Cash Flow'!H31</f>
        <v>177919.66080000001</v>
      </c>
      <c r="I6" s="56">
        <f>'Cash Flow'!I31</f>
        <v>162256.236</v>
      </c>
      <c r="J6" s="56">
        <f>'Cash Flow'!J31</f>
        <v>163620.02960000001</v>
      </c>
      <c r="K6" s="56">
        <f>'Cash Flow'!K31</f>
        <v>159298.93520000001</v>
      </c>
      <c r="L6" s="56">
        <f>'Cash Flow'!L31</f>
        <v>157786.504824</v>
      </c>
      <c r="M6" s="56">
        <f>'Cash Flow'!M31</f>
        <v>142652.24404799999</v>
      </c>
    </row>
    <row r="7" spans="1:13" ht="15" customHeight="1" x14ac:dyDescent="0.2">
      <c r="A7" s="55" t="s">
        <v>278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</row>
    <row r="8" spans="1:13" ht="15" customHeight="1" x14ac:dyDescent="0.2">
      <c r="A8" s="55" t="s">
        <v>279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</row>
    <row r="9" spans="1:13" ht="15" customHeight="1" x14ac:dyDescent="0.2">
      <c r="A9" s="55" t="s">
        <v>280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</row>
    <row r="10" spans="1:13" ht="15" customHeight="1" x14ac:dyDescent="0.2">
      <c r="A10" s="52" t="s">
        <v>281</v>
      </c>
      <c r="B10" s="58">
        <f t="shared" ref="B10:M10" si="0">B6+B7+B8+B9</f>
        <v>169049.60800000001</v>
      </c>
      <c r="C10" s="58">
        <f t="shared" si="0"/>
        <v>154458.05440000002</v>
      </c>
      <c r="D10" s="58">
        <f t="shared" si="0"/>
        <v>163227.50720000002</v>
      </c>
      <c r="E10" s="58">
        <f t="shared" si="0"/>
        <v>156415.19840000002</v>
      </c>
      <c r="F10" s="58">
        <f t="shared" si="0"/>
        <v>139394.12240000002</v>
      </c>
      <c r="G10" s="58">
        <f t="shared" si="0"/>
        <v>200631.12560000003</v>
      </c>
      <c r="H10" s="58">
        <f t="shared" si="0"/>
        <v>177919.66080000001</v>
      </c>
      <c r="I10" s="58">
        <f t="shared" si="0"/>
        <v>162256.236</v>
      </c>
      <c r="J10" s="58">
        <f t="shared" si="0"/>
        <v>163620.02960000001</v>
      </c>
      <c r="K10" s="58">
        <f t="shared" si="0"/>
        <v>159298.93520000001</v>
      </c>
      <c r="L10" s="58">
        <f t="shared" si="0"/>
        <v>157786.504824</v>
      </c>
      <c r="M10" s="58">
        <f t="shared" si="0"/>
        <v>142652.24404799999</v>
      </c>
    </row>
    <row r="12" spans="1:13" ht="15" customHeight="1" x14ac:dyDescent="0.2">
      <c r="A12" s="52" t="s">
        <v>282</v>
      </c>
    </row>
    <row r="13" spans="1:13" ht="15" customHeight="1" x14ac:dyDescent="0.2">
      <c r="A13" s="55" t="s">
        <v>283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</row>
    <row r="14" spans="1:13" ht="15" customHeight="1" x14ac:dyDescent="0.2">
      <c r="A14" s="55" t="s">
        <v>284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</row>
    <row r="15" spans="1:13" ht="15" customHeight="1" x14ac:dyDescent="0.2">
      <c r="A15" s="55" t="s">
        <v>285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</row>
    <row r="16" spans="1:13" ht="15" customHeight="1" x14ac:dyDescent="0.2">
      <c r="A16" s="55" t="s">
        <v>286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</row>
    <row r="17" spans="1:13" ht="15" customHeight="1" x14ac:dyDescent="0.2">
      <c r="A17" s="52" t="s">
        <v>287</v>
      </c>
      <c r="B17" s="58">
        <f t="shared" ref="B17:M17" si="1">B13+B14+B15+B16</f>
        <v>0</v>
      </c>
      <c r="C17" s="58">
        <f t="shared" si="1"/>
        <v>0</v>
      </c>
      <c r="D17" s="58">
        <f t="shared" si="1"/>
        <v>0</v>
      </c>
      <c r="E17" s="58">
        <f t="shared" si="1"/>
        <v>0</v>
      </c>
      <c r="F17" s="58">
        <f t="shared" si="1"/>
        <v>0</v>
      </c>
      <c r="G17" s="58">
        <f t="shared" si="1"/>
        <v>0</v>
      </c>
      <c r="H17" s="58">
        <f t="shared" si="1"/>
        <v>0</v>
      </c>
      <c r="I17" s="58">
        <f t="shared" si="1"/>
        <v>0</v>
      </c>
      <c r="J17" s="58">
        <f t="shared" si="1"/>
        <v>0</v>
      </c>
      <c r="K17" s="58">
        <f t="shared" si="1"/>
        <v>0</v>
      </c>
      <c r="L17" s="58">
        <f t="shared" si="1"/>
        <v>0</v>
      </c>
      <c r="M17" s="58">
        <f t="shared" si="1"/>
        <v>0</v>
      </c>
    </row>
    <row r="19" spans="1:13" ht="15" customHeight="1" x14ac:dyDescent="0.2">
      <c r="A19" s="52" t="s">
        <v>288</v>
      </c>
      <c r="B19" s="58">
        <f t="shared" ref="B19:M19" si="2">B10+B17</f>
        <v>169049.60800000001</v>
      </c>
      <c r="C19" s="58">
        <f t="shared" si="2"/>
        <v>154458.05440000002</v>
      </c>
      <c r="D19" s="58">
        <f t="shared" si="2"/>
        <v>163227.50720000002</v>
      </c>
      <c r="E19" s="58">
        <f t="shared" si="2"/>
        <v>156415.19840000002</v>
      </c>
      <c r="F19" s="58">
        <f t="shared" si="2"/>
        <v>139394.12240000002</v>
      </c>
      <c r="G19" s="58">
        <f t="shared" si="2"/>
        <v>200631.12560000003</v>
      </c>
      <c r="H19" s="58">
        <f t="shared" si="2"/>
        <v>177919.66080000001</v>
      </c>
      <c r="I19" s="58">
        <f t="shared" si="2"/>
        <v>162256.236</v>
      </c>
      <c r="J19" s="58">
        <f t="shared" si="2"/>
        <v>163620.02960000001</v>
      </c>
      <c r="K19" s="58">
        <f t="shared" si="2"/>
        <v>159298.93520000001</v>
      </c>
      <c r="L19" s="58">
        <f t="shared" si="2"/>
        <v>157786.504824</v>
      </c>
      <c r="M19" s="58">
        <f t="shared" si="2"/>
        <v>142652.24404799999</v>
      </c>
    </row>
    <row r="21" spans="1:13" ht="15" customHeight="1" x14ac:dyDescent="0.2">
      <c r="A21" s="52" t="s">
        <v>289</v>
      </c>
    </row>
    <row r="22" spans="1:13" ht="15" customHeight="1" x14ac:dyDescent="0.2">
      <c r="A22" s="52" t="s">
        <v>290</v>
      </c>
    </row>
    <row r="23" spans="1:13" ht="15" customHeight="1" x14ac:dyDescent="0.2">
      <c r="A23" s="55" t="s">
        <v>291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</row>
    <row r="24" spans="1:13" ht="15" customHeight="1" x14ac:dyDescent="0.2">
      <c r="A24" s="55" t="s">
        <v>292</v>
      </c>
      <c r="B24" s="57">
        <f t="shared" ref="B24:M24" si="3">MAX(0,B54)</f>
        <v>5940</v>
      </c>
      <c r="C24" s="57">
        <f t="shared" si="3"/>
        <v>3034</v>
      </c>
      <c r="D24" s="57">
        <f t="shared" si="3"/>
        <v>3317</v>
      </c>
      <c r="E24" s="57">
        <f t="shared" si="3"/>
        <v>8399</v>
      </c>
      <c r="F24" s="57">
        <f t="shared" si="3"/>
        <v>12936.5</v>
      </c>
      <c r="G24" s="57">
        <f t="shared" si="3"/>
        <v>26453.5</v>
      </c>
      <c r="H24" s="57">
        <f t="shared" si="3"/>
        <v>16951.5</v>
      </c>
      <c r="I24" s="57">
        <f t="shared" si="3"/>
        <v>8903.5</v>
      </c>
      <c r="J24" s="57">
        <f t="shared" si="3"/>
        <v>23943.5</v>
      </c>
      <c r="K24" s="57">
        <f t="shared" si="3"/>
        <v>26405.5</v>
      </c>
      <c r="L24" s="57">
        <f t="shared" si="3"/>
        <v>13640.5</v>
      </c>
      <c r="M24" s="57">
        <f t="shared" si="3"/>
        <v>0</v>
      </c>
    </row>
    <row r="25" spans="1:13" ht="15" customHeight="1" x14ac:dyDescent="0.2">
      <c r="A25" s="55" t="s">
        <v>293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</row>
    <row r="26" spans="1:13" ht="15" customHeight="1" x14ac:dyDescent="0.2">
      <c r="A26" s="55" t="s">
        <v>294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</row>
    <row r="27" spans="1:13" ht="15" customHeight="1" x14ac:dyDescent="0.2">
      <c r="A27" s="55" t="s">
        <v>295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</row>
    <row r="28" spans="1:13" ht="15" customHeight="1" x14ac:dyDescent="0.2">
      <c r="A28" s="52" t="s">
        <v>296</v>
      </c>
      <c r="B28" s="58">
        <f t="shared" ref="B28:M28" si="4">B23+B24+B25+B26+B27</f>
        <v>5940</v>
      </c>
      <c r="C28" s="58">
        <f t="shared" si="4"/>
        <v>3034</v>
      </c>
      <c r="D28" s="58">
        <f t="shared" si="4"/>
        <v>3317</v>
      </c>
      <c r="E28" s="58">
        <f t="shared" si="4"/>
        <v>8399</v>
      </c>
      <c r="F28" s="58">
        <f t="shared" si="4"/>
        <v>12936.5</v>
      </c>
      <c r="G28" s="58">
        <f t="shared" si="4"/>
        <v>26453.5</v>
      </c>
      <c r="H28" s="58">
        <f t="shared" si="4"/>
        <v>16951.5</v>
      </c>
      <c r="I28" s="58">
        <f t="shared" si="4"/>
        <v>8903.5</v>
      </c>
      <c r="J28" s="58">
        <f t="shared" si="4"/>
        <v>23943.5</v>
      </c>
      <c r="K28" s="58">
        <f t="shared" si="4"/>
        <v>26405.5</v>
      </c>
      <c r="L28" s="58">
        <f t="shared" si="4"/>
        <v>13640.5</v>
      </c>
      <c r="M28" s="58">
        <f t="shared" si="4"/>
        <v>0</v>
      </c>
    </row>
    <row r="30" spans="1:13" ht="15" customHeight="1" x14ac:dyDescent="0.2">
      <c r="A30" s="52" t="s">
        <v>297</v>
      </c>
    </row>
    <row r="31" spans="1:13" ht="15" customHeight="1" x14ac:dyDescent="0.2">
      <c r="A31" s="55" t="s">
        <v>298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</row>
    <row r="32" spans="1:13" ht="15" customHeight="1" x14ac:dyDescent="0.2">
      <c r="A32" s="55" t="s">
        <v>299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spans="1:13" ht="15" customHeight="1" x14ac:dyDescent="0.2">
      <c r="A33" s="55" t="s">
        <v>300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</row>
    <row r="34" spans="1:13" ht="15" customHeight="1" x14ac:dyDescent="0.2">
      <c r="A34" s="52" t="s">
        <v>301</v>
      </c>
      <c r="B34" s="58">
        <f t="shared" ref="B34:M34" si="5">B31+B32+B33</f>
        <v>0</v>
      </c>
      <c r="C34" s="58">
        <f t="shared" si="5"/>
        <v>0</v>
      </c>
      <c r="D34" s="58">
        <f t="shared" si="5"/>
        <v>0</v>
      </c>
      <c r="E34" s="58">
        <f t="shared" si="5"/>
        <v>0</v>
      </c>
      <c r="F34" s="58">
        <f t="shared" si="5"/>
        <v>0</v>
      </c>
      <c r="G34" s="58">
        <f t="shared" si="5"/>
        <v>0</v>
      </c>
      <c r="H34" s="58">
        <f t="shared" si="5"/>
        <v>0</v>
      </c>
      <c r="I34" s="58">
        <f t="shared" si="5"/>
        <v>0</v>
      </c>
      <c r="J34" s="58">
        <f t="shared" si="5"/>
        <v>0</v>
      </c>
      <c r="K34" s="58">
        <f t="shared" si="5"/>
        <v>0</v>
      </c>
      <c r="L34" s="58">
        <f t="shared" si="5"/>
        <v>0</v>
      </c>
      <c r="M34" s="58">
        <f t="shared" si="5"/>
        <v>0</v>
      </c>
    </row>
    <row r="36" spans="1:13" ht="15" customHeight="1" x14ac:dyDescent="0.2">
      <c r="A36" s="52" t="s">
        <v>302</v>
      </c>
      <c r="B36" s="58">
        <f t="shared" ref="B36:M36" si="6">B28+B34</f>
        <v>5940</v>
      </c>
      <c r="C36" s="58">
        <f t="shared" si="6"/>
        <v>3034</v>
      </c>
      <c r="D36" s="58">
        <f t="shared" si="6"/>
        <v>3317</v>
      </c>
      <c r="E36" s="58">
        <f t="shared" si="6"/>
        <v>8399</v>
      </c>
      <c r="F36" s="58">
        <f t="shared" si="6"/>
        <v>12936.5</v>
      </c>
      <c r="G36" s="58">
        <f t="shared" si="6"/>
        <v>26453.5</v>
      </c>
      <c r="H36" s="58">
        <f t="shared" si="6"/>
        <v>16951.5</v>
      </c>
      <c r="I36" s="58">
        <f t="shared" si="6"/>
        <v>8903.5</v>
      </c>
      <c r="J36" s="58">
        <f t="shared" si="6"/>
        <v>23943.5</v>
      </c>
      <c r="K36" s="58">
        <f t="shared" si="6"/>
        <v>26405.5</v>
      </c>
      <c r="L36" s="58">
        <f t="shared" si="6"/>
        <v>13640.5</v>
      </c>
      <c r="M36" s="58">
        <f t="shared" si="6"/>
        <v>0</v>
      </c>
    </row>
    <row r="38" spans="1:13" ht="15" customHeight="1" x14ac:dyDescent="0.2">
      <c r="A38" s="52" t="s">
        <v>303</v>
      </c>
    </row>
    <row r="39" spans="1:13" ht="15" customHeight="1" x14ac:dyDescent="0.2">
      <c r="A39" s="55" t="s">
        <v>304</v>
      </c>
      <c r="B39" s="57">
        <v>185000</v>
      </c>
      <c r="C39" s="57">
        <v>185000</v>
      </c>
      <c r="D39" s="57">
        <v>185000</v>
      </c>
      <c r="E39" s="57">
        <v>185000</v>
      </c>
      <c r="F39" s="57">
        <v>185000</v>
      </c>
      <c r="G39" s="57">
        <v>185000</v>
      </c>
      <c r="H39" s="57">
        <v>185000</v>
      </c>
      <c r="I39" s="57">
        <v>185000</v>
      </c>
      <c r="J39" s="57">
        <v>185000</v>
      </c>
      <c r="K39" s="57">
        <v>185000</v>
      </c>
      <c r="L39" s="57">
        <v>185000</v>
      </c>
      <c r="M39" s="57">
        <v>185000</v>
      </c>
    </row>
    <row r="40" spans="1:13" ht="15" customHeight="1" x14ac:dyDescent="0.2">
      <c r="A40" s="55" t="s">
        <v>305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spans="1:13" ht="15" customHeight="1" x14ac:dyDescent="0.2">
      <c r="A41" s="55" t="s">
        <v>306</v>
      </c>
      <c r="B41" s="57">
        <f>'Income Statement'!B177</f>
        <v>-21890.392</v>
      </c>
      <c r="C41" s="57">
        <f>'Income Statement'!C177</f>
        <v>-33575.945599999999</v>
      </c>
      <c r="D41" s="57">
        <f>'Income Statement'!D177</f>
        <v>-25089.4928</v>
      </c>
      <c r="E41" s="57">
        <f>'Income Statement'!E177</f>
        <v>-36983.801599999999</v>
      </c>
      <c r="F41" s="57">
        <f>'Income Statement'!F177</f>
        <v>-58542.3776</v>
      </c>
      <c r="G41" s="57">
        <f>'Income Statement'!G177</f>
        <v>-10822.374400000001</v>
      </c>
      <c r="H41" s="57">
        <f>'Income Statement'!H177</f>
        <v>-24031.839200000002</v>
      </c>
      <c r="I41" s="57">
        <f>'Income Statement'!I177</f>
        <v>-31647.264000000003</v>
      </c>
      <c r="J41" s="57">
        <f>'Income Statement'!J177</f>
        <v>-45323.470400000006</v>
      </c>
      <c r="K41" s="57">
        <f>'Income Statement'!K177</f>
        <v>-52106.564800000007</v>
      </c>
      <c r="L41" s="57">
        <f>'Income Statement'!L177</f>
        <v>-40853.995176000011</v>
      </c>
      <c r="M41" s="57">
        <f>'Income Statement'!M177</f>
        <v>-40616.255952000007</v>
      </c>
    </row>
    <row r="42" spans="1:13" ht="15" customHeight="1" x14ac:dyDescent="0.2">
      <c r="A42" s="55" t="s">
        <v>307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</row>
    <row r="43" spans="1:13" ht="15" customHeight="1" x14ac:dyDescent="0.2">
      <c r="A43" s="52" t="s">
        <v>308</v>
      </c>
      <c r="B43" s="58">
        <f t="shared" ref="B43:M43" si="7">B39+B40+B41+B42</f>
        <v>163109.60800000001</v>
      </c>
      <c r="C43" s="58">
        <f t="shared" si="7"/>
        <v>151424.05439999999</v>
      </c>
      <c r="D43" s="58">
        <f t="shared" si="7"/>
        <v>159910.50719999999</v>
      </c>
      <c r="E43" s="58">
        <f t="shared" si="7"/>
        <v>148016.19839999999</v>
      </c>
      <c r="F43" s="58">
        <f t="shared" si="7"/>
        <v>126457.62239999999</v>
      </c>
      <c r="G43" s="58">
        <f t="shared" si="7"/>
        <v>174177.6256</v>
      </c>
      <c r="H43" s="58">
        <f t="shared" si="7"/>
        <v>160968.16080000001</v>
      </c>
      <c r="I43" s="58">
        <f t="shared" si="7"/>
        <v>153352.736</v>
      </c>
      <c r="J43" s="58">
        <f t="shared" si="7"/>
        <v>139676.52960000001</v>
      </c>
      <c r="K43" s="58">
        <f t="shared" si="7"/>
        <v>132893.43520000001</v>
      </c>
      <c r="L43" s="58">
        <f t="shared" si="7"/>
        <v>144146.004824</v>
      </c>
      <c r="M43" s="58">
        <f t="shared" si="7"/>
        <v>144383.74404799999</v>
      </c>
    </row>
    <row r="45" spans="1:13" ht="15" customHeight="1" x14ac:dyDescent="0.2">
      <c r="A45" s="52" t="s">
        <v>309</v>
      </c>
      <c r="B45" s="58">
        <f t="shared" ref="B45:M45" si="8">B36+B43</f>
        <v>169049.60800000001</v>
      </c>
      <c r="C45" s="58">
        <f t="shared" si="8"/>
        <v>154458.05439999999</v>
      </c>
      <c r="D45" s="58">
        <f t="shared" si="8"/>
        <v>163227.50719999999</v>
      </c>
      <c r="E45" s="58">
        <f t="shared" si="8"/>
        <v>156415.19839999999</v>
      </c>
      <c r="F45" s="58">
        <f t="shared" si="8"/>
        <v>139394.12239999999</v>
      </c>
      <c r="G45" s="58">
        <f t="shared" si="8"/>
        <v>200631.1256</v>
      </c>
      <c r="H45" s="58">
        <f t="shared" si="8"/>
        <v>177919.66080000001</v>
      </c>
      <c r="I45" s="58">
        <f t="shared" si="8"/>
        <v>162256.236</v>
      </c>
      <c r="J45" s="58">
        <f t="shared" si="8"/>
        <v>163620.02960000001</v>
      </c>
      <c r="K45" s="58">
        <f t="shared" si="8"/>
        <v>159298.93520000001</v>
      </c>
      <c r="L45" s="58">
        <f t="shared" si="8"/>
        <v>157786.504824</v>
      </c>
      <c r="M45" s="58">
        <f t="shared" si="8"/>
        <v>144383.74404799999</v>
      </c>
    </row>
    <row r="47" spans="1:13" ht="15" customHeight="1" x14ac:dyDescent="0.2">
      <c r="A47" s="59" t="s">
        <v>310</v>
      </c>
    </row>
    <row r="48" spans="1:13" ht="15" customHeight="1" x14ac:dyDescent="0.2">
      <c r="B48" s="60">
        <f t="shared" ref="B48:M48" si="9">B19-B45</f>
        <v>0</v>
      </c>
      <c r="C48" s="60">
        <f t="shared" si="9"/>
        <v>0</v>
      </c>
      <c r="D48" s="60">
        <f t="shared" si="9"/>
        <v>0</v>
      </c>
      <c r="E48" s="60">
        <f t="shared" si="9"/>
        <v>0</v>
      </c>
      <c r="F48" s="60">
        <f t="shared" si="9"/>
        <v>0</v>
      </c>
      <c r="G48" s="60">
        <f t="shared" si="9"/>
        <v>0</v>
      </c>
      <c r="H48" s="60">
        <f t="shared" si="9"/>
        <v>0</v>
      </c>
      <c r="I48" s="60">
        <f t="shared" si="9"/>
        <v>0</v>
      </c>
      <c r="J48" s="60">
        <f t="shared" si="9"/>
        <v>0</v>
      </c>
      <c r="K48" s="60">
        <f t="shared" si="9"/>
        <v>0</v>
      </c>
      <c r="L48" s="60">
        <f t="shared" si="9"/>
        <v>0</v>
      </c>
      <c r="M48" s="60">
        <f t="shared" si="9"/>
        <v>-1731.5</v>
      </c>
    </row>
    <row r="50" spans="1:13" ht="15.75" customHeight="1" x14ac:dyDescent="0.2">
      <c r="A50" s="50" t="s">
        <v>311</v>
      </c>
    </row>
    <row r="51" spans="1:13" ht="15.75" customHeight="1" x14ac:dyDescent="0.2">
      <c r="A51" s="50" t="s">
        <v>312</v>
      </c>
      <c r="B51" s="50">
        <v>8870</v>
      </c>
      <c r="C51" s="50">
        <v>0</v>
      </c>
      <c r="D51" s="50">
        <v>3390</v>
      </c>
      <c r="E51" s="50">
        <v>8870</v>
      </c>
      <c r="F51" s="50">
        <v>8870</v>
      </c>
      <c r="G51" s="50">
        <v>29530</v>
      </c>
      <c r="H51" s="50">
        <v>8870</v>
      </c>
      <c r="I51" s="50">
        <v>12260</v>
      </c>
      <c r="J51" s="50">
        <v>38400</v>
      </c>
      <c r="K51" s="50">
        <v>38400</v>
      </c>
      <c r="L51" s="50">
        <v>26610</v>
      </c>
      <c r="M51" s="50">
        <v>28700</v>
      </c>
    </row>
    <row r="52" spans="1:13" ht="15.75" customHeight="1" x14ac:dyDescent="0.2">
      <c r="A52" s="50" t="s">
        <v>313</v>
      </c>
      <c r="B52" s="48">
        <f>'Income Statement'!B52</f>
        <v>2930</v>
      </c>
      <c r="C52" s="48">
        <f>'Income Statement'!C52</f>
        <v>2906</v>
      </c>
      <c r="D52" s="48">
        <f>'Income Statement'!D52</f>
        <v>3107</v>
      </c>
      <c r="E52" s="48">
        <f>'Income Statement'!E52</f>
        <v>3788</v>
      </c>
      <c r="F52" s="48">
        <f>'Income Statement'!F52</f>
        <v>4332.5</v>
      </c>
      <c r="G52" s="48">
        <f>'Income Statement'!G52</f>
        <v>16013</v>
      </c>
      <c r="H52" s="48">
        <f>'Income Statement'!H52</f>
        <v>18372</v>
      </c>
      <c r="I52" s="48">
        <f>'Income Statement'!I52</f>
        <v>20308</v>
      </c>
      <c r="J52" s="48">
        <f>'Income Statement'!J52</f>
        <v>23360</v>
      </c>
      <c r="K52" s="48">
        <f>'Income Statement'!K52</f>
        <v>35938</v>
      </c>
      <c r="L52" s="48">
        <f>'Income Statement'!L52</f>
        <v>39375</v>
      </c>
      <c r="M52" s="48">
        <f>'Income Statement'!M52</f>
        <v>44072</v>
      </c>
    </row>
    <row r="53" spans="1:13" ht="15.75" customHeight="1" x14ac:dyDescent="0.2">
      <c r="A53" s="50" t="s">
        <v>314</v>
      </c>
      <c r="B53" s="50">
        <v>0</v>
      </c>
      <c r="C53" s="50">
        <f t="shared" ref="C53:M53" si="10">B54</f>
        <v>5940</v>
      </c>
      <c r="D53" s="50">
        <f t="shared" si="10"/>
        <v>3034</v>
      </c>
      <c r="E53" s="50">
        <f t="shared" si="10"/>
        <v>3317</v>
      </c>
      <c r="F53" s="50">
        <f t="shared" si="10"/>
        <v>8399</v>
      </c>
      <c r="G53" s="50">
        <f t="shared" si="10"/>
        <v>12936.5</v>
      </c>
      <c r="H53" s="50">
        <f t="shared" si="10"/>
        <v>26453.5</v>
      </c>
      <c r="I53" s="50">
        <f t="shared" si="10"/>
        <v>16951.5</v>
      </c>
      <c r="J53" s="50">
        <f t="shared" si="10"/>
        <v>8903.5</v>
      </c>
      <c r="K53" s="50">
        <f t="shared" si="10"/>
        <v>23943.5</v>
      </c>
      <c r="L53" s="50">
        <f t="shared" si="10"/>
        <v>26405.5</v>
      </c>
      <c r="M53" s="50">
        <f t="shared" si="10"/>
        <v>13640.5</v>
      </c>
    </row>
    <row r="54" spans="1:13" ht="15.75" customHeight="1" x14ac:dyDescent="0.2">
      <c r="A54" s="50" t="s">
        <v>315</v>
      </c>
      <c r="B54" s="50">
        <f t="shared" ref="B54:M54" si="11">B53+B51-B52</f>
        <v>5940</v>
      </c>
      <c r="C54" s="50">
        <f t="shared" si="11"/>
        <v>3034</v>
      </c>
      <c r="D54" s="50">
        <f t="shared" si="11"/>
        <v>3317</v>
      </c>
      <c r="E54" s="50">
        <f t="shared" si="11"/>
        <v>8399</v>
      </c>
      <c r="F54" s="50">
        <f t="shared" si="11"/>
        <v>12936.5</v>
      </c>
      <c r="G54" s="50">
        <f t="shared" si="11"/>
        <v>26453.5</v>
      </c>
      <c r="H54" s="50">
        <f t="shared" si="11"/>
        <v>16951.5</v>
      </c>
      <c r="I54" s="50">
        <f t="shared" si="11"/>
        <v>8903.5</v>
      </c>
      <c r="J54" s="50">
        <f t="shared" si="11"/>
        <v>23943.5</v>
      </c>
      <c r="K54" s="50">
        <f t="shared" si="11"/>
        <v>26405.5</v>
      </c>
      <c r="L54" s="50">
        <f t="shared" si="11"/>
        <v>13640.5</v>
      </c>
      <c r="M54" s="50">
        <f t="shared" si="11"/>
        <v>-1731.5</v>
      </c>
    </row>
  </sheetData>
  <mergeCells count="4">
    <mergeCell ref="A1:M1"/>
    <mergeCell ref="J2:M2"/>
    <mergeCell ref="F2:I2"/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"/>
  <sheetViews>
    <sheetView zoomScaleNormal="100" workbookViewId="0">
      <selection activeCell="N14" sqref="N14"/>
    </sheetView>
  </sheetViews>
  <sheetFormatPr baseColWidth="10" defaultColWidth="8.5" defaultRowHeight="18" x14ac:dyDescent="0.2"/>
  <cols>
    <col min="1" max="1" width="96.1640625" style="50" customWidth="1"/>
    <col min="2" max="2" width="19.6640625" style="50" customWidth="1"/>
    <col min="3" max="3" width="16.33203125" style="50" customWidth="1"/>
    <col min="4" max="4" width="16.83203125" style="50" customWidth="1"/>
    <col min="5" max="5" width="15.33203125" style="50" customWidth="1"/>
    <col min="6" max="6" width="16.6640625" style="50" customWidth="1"/>
    <col min="7" max="7" width="16.33203125" style="50" customWidth="1"/>
    <col min="8" max="8" width="15.83203125" style="50" customWidth="1"/>
    <col min="9" max="9" width="18.6640625" style="50" customWidth="1"/>
    <col min="10" max="10" width="19.83203125" style="50" customWidth="1"/>
    <col min="11" max="11" width="15.1640625" style="50" customWidth="1"/>
    <col min="12" max="12" width="16.6640625" style="50" customWidth="1"/>
    <col min="13" max="13" width="19.33203125" style="50" customWidth="1"/>
    <col min="14" max="14" width="52.33203125" style="50" customWidth="1"/>
    <col min="15" max="15" width="36.83203125" style="50" customWidth="1"/>
    <col min="16" max="16" width="35.5" style="50" customWidth="1"/>
    <col min="17" max="18" width="10.83203125" style="50" customWidth="1"/>
    <col min="19" max="19" width="8.5" style="50" customWidth="1"/>
    <col min="20" max="16384" width="8.5" style="50"/>
  </cols>
  <sheetData>
    <row r="1" spans="1:14" ht="15.75" customHeight="1" x14ac:dyDescent="0.2">
      <c r="A1" s="106" t="s">
        <v>316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</row>
    <row r="2" spans="1:14" ht="15" customHeight="1" x14ac:dyDescent="0.2">
      <c r="A2" s="53" t="s">
        <v>317</v>
      </c>
      <c r="N2" s="54" t="s">
        <v>318</v>
      </c>
    </row>
    <row r="3" spans="1:14" ht="15" customHeight="1" x14ac:dyDescent="0.2">
      <c r="B3" s="106" t="s">
        <v>1</v>
      </c>
      <c r="C3" s="107"/>
      <c r="D3" s="107"/>
      <c r="E3" s="107"/>
      <c r="F3" s="106" t="s">
        <v>2</v>
      </c>
      <c r="G3" s="107"/>
      <c r="H3" s="107"/>
      <c r="I3" s="107"/>
      <c r="J3" s="106" t="s">
        <v>3</v>
      </c>
      <c r="K3" s="107"/>
      <c r="L3" s="107"/>
      <c r="M3" s="107"/>
    </row>
    <row r="4" spans="1:14" ht="15" customHeight="1" x14ac:dyDescent="0.2">
      <c r="B4" s="52" t="s">
        <v>4</v>
      </c>
      <c r="C4" s="52" t="s">
        <v>5</v>
      </c>
      <c r="D4" s="52" t="s">
        <v>6</v>
      </c>
      <c r="E4" s="52" t="s">
        <v>7</v>
      </c>
      <c r="F4" s="52" t="s">
        <v>4</v>
      </c>
      <c r="G4" s="52" t="s">
        <v>5</v>
      </c>
      <c r="H4" s="52" t="s">
        <v>6</v>
      </c>
      <c r="I4" s="52" t="s">
        <v>7</v>
      </c>
      <c r="J4" s="52" t="s">
        <v>4</v>
      </c>
      <c r="K4" s="52" t="s">
        <v>5</v>
      </c>
      <c r="L4" s="52" t="s">
        <v>6</v>
      </c>
      <c r="M4" s="52" t="s">
        <v>7</v>
      </c>
    </row>
    <row r="5" spans="1:14" ht="15" customHeight="1" x14ac:dyDescent="0.2">
      <c r="A5" s="52" t="s">
        <v>319</v>
      </c>
    </row>
    <row r="6" spans="1:14" ht="15" customHeight="1" x14ac:dyDescent="0.2">
      <c r="A6" s="55" t="s">
        <v>320</v>
      </c>
      <c r="B6" s="56">
        <f>'Income Statement'!B176</f>
        <v>-21890.392</v>
      </c>
      <c r="C6" s="56">
        <f>'Income Statement'!C176</f>
        <v>-11685.553599999999</v>
      </c>
      <c r="D6" s="56">
        <f>'Income Statement'!D176</f>
        <v>8486.4527999999991</v>
      </c>
      <c r="E6" s="56">
        <f>'Income Statement'!E176</f>
        <v>-11894.308799999999</v>
      </c>
      <c r="F6" s="56">
        <f>'Income Statement'!F176</f>
        <v>-21558.576000000001</v>
      </c>
      <c r="G6" s="56">
        <f>'Income Statement'!G176</f>
        <v>47720.003199999999</v>
      </c>
      <c r="H6" s="56">
        <f>'Income Statement'!H176</f>
        <v>-13209.4648</v>
      </c>
      <c r="I6" s="56">
        <f>'Income Statement'!I176</f>
        <v>-7615.4248000000007</v>
      </c>
      <c r="J6" s="56">
        <f>'Income Statement'!J176</f>
        <v>-13676.206399999999</v>
      </c>
      <c r="K6" s="56">
        <f>'Income Statement'!K176</f>
        <v>-6783.0944000000018</v>
      </c>
      <c r="L6" s="56">
        <f>'Income Statement'!L176</f>
        <v>11252.569624</v>
      </c>
      <c r="M6" s="56">
        <f>'Income Statement'!M176</f>
        <v>237.73922400000191</v>
      </c>
    </row>
    <row r="7" spans="1:14" ht="15" customHeight="1" x14ac:dyDescent="0.2">
      <c r="A7" s="55" t="s">
        <v>321</v>
      </c>
      <c r="B7" s="61">
        <f>'Income Statement'!B138</f>
        <v>0</v>
      </c>
      <c r="C7" s="61">
        <f>'Income Statement'!C138</f>
        <v>0</v>
      </c>
      <c r="D7" s="61">
        <f>'Income Statement'!D138</f>
        <v>0</v>
      </c>
      <c r="E7" s="61">
        <f>'Income Statement'!E138</f>
        <v>0</v>
      </c>
      <c r="F7" s="61">
        <f>'Income Statement'!F138</f>
        <v>0</v>
      </c>
      <c r="G7" s="61">
        <f>'Income Statement'!G138</f>
        <v>0</v>
      </c>
      <c r="H7" s="61">
        <f>'Income Statement'!H138</f>
        <v>0</v>
      </c>
      <c r="I7" s="61">
        <f>'Income Statement'!I138</f>
        <v>0</v>
      </c>
      <c r="J7" s="61">
        <f>'Income Statement'!J138</f>
        <v>0</v>
      </c>
      <c r="K7" s="61">
        <f>'Income Statement'!K138</f>
        <v>0</v>
      </c>
      <c r="L7" s="61">
        <f>'Income Statement'!L138</f>
        <v>0</v>
      </c>
      <c r="M7" s="61">
        <f>'Income Statement'!M138</f>
        <v>0</v>
      </c>
    </row>
    <row r="8" spans="1:14" ht="15" customHeight="1" x14ac:dyDescent="0.2">
      <c r="A8" s="52" t="s">
        <v>322</v>
      </c>
    </row>
    <row r="9" spans="1:14" ht="15" customHeight="1" x14ac:dyDescent="0.2">
      <c r="A9" s="55" t="s">
        <v>323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</row>
    <row r="10" spans="1:14" ht="15" customHeight="1" x14ac:dyDescent="0.2">
      <c r="A10" s="55" t="s">
        <v>324</v>
      </c>
      <c r="B10" s="57">
        <f>'Balance Sheet'!B54</f>
        <v>5940</v>
      </c>
      <c r="C10" s="57">
        <f>'Balance Sheet'!C54-'Balance Sheet'!B54</f>
        <v>-2906</v>
      </c>
      <c r="D10" s="57">
        <f>'Balance Sheet'!D54-'Balance Sheet'!C54</f>
        <v>283</v>
      </c>
      <c r="E10" s="57">
        <f>'Balance Sheet'!E54-'Balance Sheet'!D54</f>
        <v>5082</v>
      </c>
      <c r="F10" s="57">
        <f>'Balance Sheet'!F54-'Balance Sheet'!E54</f>
        <v>4537.5</v>
      </c>
      <c r="G10" s="57">
        <f>'Balance Sheet'!G54-'Balance Sheet'!F54</f>
        <v>13517</v>
      </c>
      <c r="H10" s="57">
        <f>'Balance Sheet'!H54-'Balance Sheet'!G54</f>
        <v>-9502</v>
      </c>
      <c r="I10" s="57">
        <f>'Balance Sheet'!I54-'Balance Sheet'!H54</f>
        <v>-8048</v>
      </c>
      <c r="J10" s="57">
        <f>'Balance Sheet'!J54-'Balance Sheet'!I54</f>
        <v>15040</v>
      </c>
      <c r="K10" s="57">
        <f>'Balance Sheet'!K54-'Balance Sheet'!J54</f>
        <v>2462</v>
      </c>
      <c r="L10" s="57">
        <f>'Balance Sheet'!L54-'Balance Sheet'!K54</f>
        <v>-12765</v>
      </c>
      <c r="M10" s="57">
        <f>'Balance Sheet'!M54-'Balance Sheet'!L54</f>
        <v>-15372</v>
      </c>
    </row>
    <row r="11" spans="1:14" ht="15" customHeight="1" x14ac:dyDescent="0.2">
      <c r="A11" s="55" t="s">
        <v>325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</row>
    <row r="12" spans="1:14" ht="15" customHeight="1" x14ac:dyDescent="0.2">
      <c r="A12" s="55" t="s">
        <v>326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</row>
    <row r="13" spans="1:14" ht="15" customHeight="1" x14ac:dyDescent="0.2">
      <c r="A13" s="52" t="s">
        <v>327</v>
      </c>
      <c r="B13" s="58">
        <f t="shared" ref="B13:M13" si="0">B6+B7+B9+B10+B11+B12</f>
        <v>-15950.392</v>
      </c>
      <c r="C13" s="58">
        <f t="shared" si="0"/>
        <v>-14591.553599999999</v>
      </c>
      <c r="D13" s="58">
        <f t="shared" si="0"/>
        <v>8769.4527999999991</v>
      </c>
      <c r="E13" s="58">
        <f t="shared" si="0"/>
        <v>-6812.3087999999989</v>
      </c>
      <c r="F13" s="58">
        <f t="shared" si="0"/>
        <v>-17021.076000000001</v>
      </c>
      <c r="G13" s="58">
        <f t="shared" si="0"/>
        <v>61237.003199999999</v>
      </c>
      <c r="H13" s="58">
        <f t="shared" si="0"/>
        <v>-22711.464800000002</v>
      </c>
      <c r="I13" s="58">
        <f t="shared" si="0"/>
        <v>-15663.424800000001</v>
      </c>
      <c r="J13" s="58">
        <f t="shared" si="0"/>
        <v>1363.7936000000009</v>
      </c>
      <c r="K13" s="58">
        <f t="shared" si="0"/>
        <v>-4321.0944000000018</v>
      </c>
      <c r="L13" s="58">
        <f t="shared" si="0"/>
        <v>-1512.4303760000003</v>
      </c>
      <c r="M13" s="58">
        <f t="shared" si="0"/>
        <v>-15134.260775999997</v>
      </c>
    </row>
    <row r="15" spans="1:14" ht="15" customHeight="1" x14ac:dyDescent="0.2">
      <c r="A15" s="52" t="s">
        <v>328</v>
      </c>
    </row>
    <row r="16" spans="1:14" ht="15" customHeight="1" x14ac:dyDescent="0.2">
      <c r="A16" s="55" t="s">
        <v>329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</row>
    <row r="17" spans="1:13" ht="15" customHeight="1" x14ac:dyDescent="0.2">
      <c r="A17" s="55" t="s">
        <v>330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8" spans="1:13" ht="15" customHeight="1" x14ac:dyDescent="0.2">
      <c r="A18" s="55" t="s">
        <v>331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</row>
    <row r="19" spans="1:13" ht="15" customHeight="1" x14ac:dyDescent="0.2">
      <c r="A19" s="52" t="s">
        <v>332</v>
      </c>
      <c r="B19" s="58">
        <f t="shared" ref="B19:M19" si="1">B16+B17+B18</f>
        <v>0</v>
      </c>
      <c r="C19" s="58">
        <f t="shared" si="1"/>
        <v>0</v>
      </c>
      <c r="D19" s="58">
        <f t="shared" si="1"/>
        <v>0</v>
      </c>
      <c r="E19" s="58">
        <f t="shared" si="1"/>
        <v>0</v>
      </c>
      <c r="F19" s="58">
        <f t="shared" si="1"/>
        <v>0</v>
      </c>
      <c r="G19" s="58">
        <f t="shared" si="1"/>
        <v>0</v>
      </c>
      <c r="H19" s="58">
        <f t="shared" si="1"/>
        <v>0</v>
      </c>
      <c r="I19" s="58">
        <f t="shared" si="1"/>
        <v>0</v>
      </c>
      <c r="J19" s="58">
        <f t="shared" si="1"/>
        <v>0</v>
      </c>
      <c r="K19" s="58">
        <f t="shared" si="1"/>
        <v>0</v>
      </c>
      <c r="L19" s="58">
        <f t="shared" si="1"/>
        <v>0</v>
      </c>
      <c r="M19" s="58">
        <f t="shared" si="1"/>
        <v>0</v>
      </c>
    </row>
    <row r="21" spans="1:13" ht="15" customHeight="1" x14ac:dyDescent="0.2">
      <c r="A21" s="52" t="s">
        <v>333</v>
      </c>
    </row>
    <row r="22" spans="1:13" ht="15" customHeight="1" x14ac:dyDescent="0.2">
      <c r="A22" s="55" t="s">
        <v>334</v>
      </c>
      <c r="B22" s="57">
        <v>185000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</row>
    <row r="23" spans="1:13" ht="15" customHeight="1" x14ac:dyDescent="0.2">
      <c r="A23" s="55" t="s">
        <v>335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</row>
    <row r="24" spans="1:13" ht="15" customHeight="1" x14ac:dyDescent="0.2">
      <c r="A24" s="55" t="s">
        <v>336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</row>
    <row r="25" spans="1:13" ht="15" customHeight="1" x14ac:dyDescent="0.2">
      <c r="A25" s="55" t="s">
        <v>337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</row>
    <row r="26" spans="1:13" ht="15" customHeight="1" x14ac:dyDescent="0.2">
      <c r="A26" s="52" t="s">
        <v>338</v>
      </c>
      <c r="B26" s="58">
        <f t="shared" ref="B26:M26" si="2">B22+B23+B24+B25</f>
        <v>185000</v>
      </c>
      <c r="C26" s="58">
        <f t="shared" si="2"/>
        <v>0</v>
      </c>
      <c r="D26" s="58">
        <f t="shared" si="2"/>
        <v>0</v>
      </c>
      <c r="E26" s="58">
        <f t="shared" si="2"/>
        <v>0</v>
      </c>
      <c r="F26" s="58">
        <f t="shared" si="2"/>
        <v>0</v>
      </c>
      <c r="G26" s="58">
        <f t="shared" si="2"/>
        <v>0</v>
      </c>
      <c r="H26" s="58">
        <f t="shared" si="2"/>
        <v>0</v>
      </c>
      <c r="I26" s="58">
        <f t="shared" si="2"/>
        <v>0</v>
      </c>
      <c r="J26" s="58">
        <f t="shared" si="2"/>
        <v>0</v>
      </c>
      <c r="K26" s="58">
        <f t="shared" si="2"/>
        <v>0</v>
      </c>
      <c r="L26" s="58">
        <f t="shared" si="2"/>
        <v>0</v>
      </c>
      <c r="M26" s="58">
        <f t="shared" si="2"/>
        <v>0</v>
      </c>
    </row>
    <row r="28" spans="1:13" ht="15" customHeight="1" x14ac:dyDescent="0.2">
      <c r="A28" s="52" t="s">
        <v>339</v>
      </c>
    </row>
    <row r="29" spans="1:13" ht="15" customHeight="1" x14ac:dyDescent="0.2">
      <c r="A29" s="52" t="s">
        <v>340</v>
      </c>
      <c r="B29" s="60">
        <f t="shared" ref="B29:M29" si="3">B13+B19+B26</f>
        <v>169049.60800000001</v>
      </c>
      <c r="C29" s="60">
        <f t="shared" si="3"/>
        <v>-14591.553599999999</v>
      </c>
      <c r="D29" s="60">
        <f t="shared" si="3"/>
        <v>8769.4527999999991</v>
      </c>
      <c r="E29" s="60">
        <f t="shared" si="3"/>
        <v>-6812.3087999999989</v>
      </c>
      <c r="F29" s="60">
        <f t="shared" si="3"/>
        <v>-17021.076000000001</v>
      </c>
      <c r="G29" s="60">
        <f t="shared" si="3"/>
        <v>61237.003199999999</v>
      </c>
      <c r="H29" s="60">
        <f t="shared" si="3"/>
        <v>-22711.464800000002</v>
      </c>
      <c r="I29" s="60">
        <f t="shared" si="3"/>
        <v>-15663.424800000001</v>
      </c>
      <c r="J29" s="60">
        <f t="shared" si="3"/>
        <v>1363.7936000000009</v>
      </c>
      <c r="K29" s="60">
        <f t="shared" si="3"/>
        <v>-4321.0944000000018</v>
      </c>
      <c r="L29" s="60">
        <f t="shared" si="3"/>
        <v>-1512.4303760000003</v>
      </c>
      <c r="M29" s="60">
        <f t="shared" si="3"/>
        <v>-15134.260775999997</v>
      </c>
    </row>
    <row r="30" spans="1:13" ht="15" customHeight="1" x14ac:dyDescent="0.2">
      <c r="A30" s="55" t="s">
        <v>341</v>
      </c>
      <c r="B30" s="57">
        <v>0</v>
      </c>
      <c r="C30" s="60">
        <f t="shared" ref="C30:M30" si="4">B31</f>
        <v>169049.60800000001</v>
      </c>
      <c r="D30" s="60">
        <f t="shared" si="4"/>
        <v>154458.05440000002</v>
      </c>
      <c r="E30" s="60">
        <f t="shared" si="4"/>
        <v>163227.50720000002</v>
      </c>
      <c r="F30" s="60">
        <f t="shared" si="4"/>
        <v>156415.19840000002</v>
      </c>
      <c r="G30" s="60">
        <f t="shared" si="4"/>
        <v>139394.12240000002</v>
      </c>
      <c r="H30" s="60">
        <f t="shared" si="4"/>
        <v>200631.12560000003</v>
      </c>
      <c r="I30" s="60">
        <f t="shared" si="4"/>
        <v>177919.66080000001</v>
      </c>
      <c r="J30" s="60">
        <f t="shared" si="4"/>
        <v>162256.236</v>
      </c>
      <c r="K30" s="60">
        <f t="shared" si="4"/>
        <v>163620.02960000001</v>
      </c>
      <c r="L30" s="60">
        <f t="shared" si="4"/>
        <v>159298.93520000001</v>
      </c>
      <c r="M30" s="60">
        <f t="shared" si="4"/>
        <v>157786.504824</v>
      </c>
    </row>
    <row r="31" spans="1:13" ht="15" customHeight="1" x14ac:dyDescent="0.2">
      <c r="A31" s="52" t="s">
        <v>342</v>
      </c>
      <c r="B31" s="58">
        <f t="shared" ref="B31:M31" si="5">B29+B30</f>
        <v>169049.60800000001</v>
      </c>
      <c r="C31" s="58">
        <f t="shared" si="5"/>
        <v>154458.05440000002</v>
      </c>
      <c r="D31" s="58">
        <f t="shared" si="5"/>
        <v>163227.50720000002</v>
      </c>
      <c r="E31" s="58">
        <f t="shared" si="5"/>
        <v>156415.19840000002</v>
      </c>
      <c r="F31" s="58">
        <f t="shared" si="5"/>
        <v>139394.12240000002</v>
      </c>
      <c r="G31" s="58">
        <f t="shared" si="5"/>
        <v>200631.12560000003</v>
      </c>
      <c r="H31" s="58">
        <f t="shared" si="5"/>
        <v>177919.66080000001</v>
      </c>
      <c r="I31" s="58">
        <f t="shared" si="5"/>
        <v>162256.236</v>
      </c>
      <c r="J31" s="58">
        <f t="shared" si="5"/>
        <v>163620.02960000001</v>
      </c>
      <c r="K31" s="58">
        <f t="shared" si="5"/>
        <v>159298.93520000001</v>
      </c>
      <c r="L31" s="58">
        <f t="shared" si="5"/>
        <v>157786.504824</v>
      </c>
      <c r="M31" s="58">
        <f t="shared" si="5"/>
        <v>142652.24404799999</v>
      </c>
    </row>
    <row r="32" spans="1:13" ht="15.75" customHeight="1" x14ac:dyDescent="0.2">
      <c r="A32" s="50" t="s">
        <v>343</v>
      </c>
      <c r="B32" s="50">
        <f>IFERROR(B31/ABS(AVERAGE(B29,B29,B29,B29))*3,"-")</f>
        <v>3</v>
      </c>
      <c r="C32" s="50">
        <f>IFERROR(C31/ABS(AVERAGE(B29))*3,"-")</f>
        <v>2.7410543489695645</v>
      </c>
      <c r="D32" s="50">
        <f>IFERROR(D31/ABS(AVERAGE(B29,C29))*3,"-")</f>
        <v>6.3406537587462974</v>
      </c>
      <c r="E32" s="50">
        <f>IFERROR(E31/ABS(AVERAGE(B29,C29,D29))*3,"-")</f>
        <v>8.6243845155040155</v>
      </c>
      <c r="F32" s="50">
        <f t="shared" ref="F32:M32" si="6">IFERROR(F31/ABS(AVERAGE(B29,C29,D29,E29))*3,"-")</f>
        <v>10.694161986243405</v>
      </c>
      <c r="G32" s="50">
        <f t="shared" si="6"/>
        <v>81.18476087945092</v>
      </c>
      <c r="H32" s="50">
        <f t="shared" si="6"/>
        <v>46.239850937184357</v>
      </c>
      <c r="I32" s="50">
        <f t="shared" si="6"/>
        <v>132.5248077994502</v>
      </c>
      <c r="J32" s="50">
        <f t="shared" si="6"/>
        <v>336.14581683226993</v>
      </c>
      <c r="K32" s="50">
        <f t="shared" si="6"/>
        <v>78.906734291461333</v>
      </c>
      <c r="L32" s="50">
        <f t="shared" si="6"/>
        <v>45.810251998839135</v>
      </c>
      <c r="M32" s="50">
        <f t="shared" si="6"/>
        <v>85.025265319386889</v>
      </c>
    </row>
    <row r="33" spans="1:13" ht="15" customHeight="1" x14ac:dyDescent="0.2">
      <c r="A33" s="59" t="s">
        <v>344</v>
      </c>
      <c r="B33" s="50">
        <v>25000</v>
      </c>
      <c r="C33" s="50">
        <v>25000</v>
      </c>
      <c r="D33" s="50">
        <v>25000</v>
      </c>
      <c r="E33" s="50">
        <v>25000</v>
      </c>
      <c r="F33" s="50">
        <v>25000</v>
      </c>
      <c r="G33" s="50">
        <v>25000</v>
      </c>
      <c r="H33" s="50">
        <v>25000</v>
      </c>
      <c r="I33" s="50">
        <v>25000</v>
      </c>
      <c r="J33" s="50">
        <v>25000</v>
      </c>
      <c r="K33" s="50">
        <v>25000</v>
      </c>
      <c r="L33" s="50">
        <v>25000</v>
      </c>
      <c r="M33" s="50">
        <v>25000</v>
      </c>
    </row>
  </sheetData>
  <mergeCells count="4">
    <mergeCell ref="F3:I3"/>
    <mergeCell ref="J3:M3"/>
    <mergeCell ref="A1:M1"/>
    <mergeCell ref="B3:E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5"/>
  <sheetViews>
    <sheetView zoomScaleNormal="100" workbookViewId="0">
      <selection activeCell="F17" sqref="F17"/>
    </sheetView>
  </sheetViews>
  <sheetFormatPr baseColWidth="10" defaultColWidth="8.5" defaultRowHeight="18" x14ac:dyDescent="0.2"/>
  <cols>
    <col min="1" max="1" width="24" style="50" customWidth="1"/>
    <col min="2" max="2" width="34" style="50" customWidth="1"/>
    <col min="3" max="3" width="29.33203125" style="50" customWidth="1"/>
    <col min="4" max="15" width="10" style="50" customWidth="1"/>
    <col min="16" max="16" width="8.5" style="50" customWidth="1"/>
    <col min="17" max="16384" width="8.5" style="50"/>
  </cols>
  <sheetData>
    <row r="1" spans="1:16" ht="19.5" customHeight="1" x14ac:dyDescent="0.2">
      <c r="A1" s="52" t="s">
        <v>345</v>
      </c>
    </row>
    <row r="2" spans="1:16" ht="15" customHeight="1" x14ac:dyDescent="0.2">
      <c r="A2" s="55" t="s">
        <v>346</v>
      </c>
    </row>
    <row r="3" spans="1:16" ht="39.75" customHeight="1" x14ac:dyDescent="0.2">
      <c r="A3" s="66" t="s">
        <v>347</v>
      </c>
      <c r="B3" s="66" t="s">
        <v>348</v>
      </c>
      <c r="C3" s="66" t="s">
        <v>349</v>
      </c>
      <c r="D3" s="66" t="s">
        <v>350</v>
      </c>
      <c r="E3" s="66" t="s">
        <v>351</v>
      </c>
      <c r="F3" s="66" t="s">
        <v>352</v>
      </c>
      <c r="G3" s="66" t="s">
        <v>353</v>
      </c>
      <c r="H3" s="66" t="s">
        <v>354</v>
      </c>
      <c r="I3" s="66" t="s">
        <v>355</v>
      </c>
      <c r="J3" s="66" t="s">
        <v>356</v>
      </c>
      <c r="K3" s="66" t="s">
        <v>357</v>
      </c>
      <c r="L3" s="66" t="s">
        <v>358</v>
      </c>
      <c r="M3" s="66" t="s">
        <v>359</v>
      </c>
      <c r="N3" s="66" t="s">
        <v>360</v>
      </c>
      <c r="O3" s="66" t="s">
        <v>361</v>
      </c>
    </row>
    <row r="4" spans="1:16" ht="15.75" customHeight="1" x14ac:dyDescent="0.2">
      <c r="A4" s="67" t="s">
        <v>362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</row>
    <row r="5" spans="1:16" ht="15" customHeight="1" x14ac:dyDescent="0.2">
      <c r="B5" s="55" t="s">
        <v>363</v>
      </c>
      <c r="C5" s="69">
        <v>3400</v>
      </c>
      <c r="D5" s="70">
        <v>1</v>
      </c>
      <c r="E5" s="70">
        <v>1</v>
      </c>
      <c r="F5" s="70">
        <v>1</v>
      </c>
      <c r="G5" s="70">
        <v>1</v>
      </c>
      <c r="H5" s="70">
        <v>1</v>
      </c>
      <c r="I5" s="70">
        <v>1</v>
      </c>
      <c r="J5" s="70">
        <v>2</v>
      </c>
      <c r="K5" s="70">
        <v>2</v>
      </c>
      <c r="L5" s="70">
        <v>2</v>
      </c>
      <c r="M5" s="70">
        <v>2</v>
      </c>
      <c r="N5" s="70">
        <v>3</v>
      </c>
      <c r="O5" s="70">
        <v>3</v>
      </c>
    </row>
    <row r="6" spans="1:16" ht="15.75" customHeight="1" x14ac:dyDescent="0.2">
      <c r="A6" s="71" t="s">
        <v>364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</row>
    <row r="7" spans="1:16" ht="15" customHeight="1" x14ac:dyDescent="0.2">
      <c r="B7" s="55" t="s">
        <v>365</v>
      </c>
      <c r="C7" s="69">
        <v>4250</v>
      </c>
      <c r="D7" s="70">
        <v>0</v>
      </c>
      <c r="E7" s="70">
        <v>0</v>
      </c>
      <c r="F7" s="70">
        <v>0</v>
      </c>
      <c r="G7" s="70">
        <v>0</v>
      </c>
      <c r="H7" s="70">
        <v>1</v>
      </c>
      <c r="I7" s="70">
        <v>1</v>
      </c>
      <c r="J7" s="70">
        <v>1</v>
      </c>
      <c r="K7" s="70">
        <v>1</v>
      </c>
      <c r="L7" s="70">
        <v>1</v>
      </c>
      <c r="M7" s="70">
        <v>1</v>
      </c>
      <c r="N7" s="70">
        <v>1</v>
      </c>
      <c r="O7" s="70">
        <v>1</v>
      </c>
    </row>
    <row r="8" spans="1:16" ht="15" customHeight="1" x14ac:dyDescent="0.2">
      <c r="B8" s="55" t="s">
        <v>366</v>
      </c>
      <c r="C8" s="69">
        <v>3400</v>
      </c>
      <c r="D8" s="70">
        <v>0</v>
      </c>
      <c r="E8" s="70">
        <v>0</v>
      </c>
      <c r="F8" s="70">
        <v>0</v>
      </c>
      <c r="G8" s="70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</row>
    <row r="9" spans="1:16" ht="15.75" customHeight="1" x14ac:dyDescent="0.2">
      <c r="A9" s="73" t="s">
        <v>367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</row>
    <row r="10" spans="1:16" ht="15" customHeight="1" x14ac:dyDescent="0.2">
      <c r="B10" s="55" t="s">
        <v>368</v>
      </c>
      <c r="C10" s="69">
        <v>4750</v>
      </c>
      <c r="D10" s="70">
        <v>0</v>
      </c>
      <c r="E10" s="70">
        <v>0</v>
      </c>
      <c r="F10" s="70">
        <v>0</v>
      </c>
      <c r="G10" s="70">
        <v>0</v>
      </c>
      <c r="H10" s="70">
        <v>0</v>
      </c>
      <c r="I10" s="70">
        <v>0</v>
      </c>
      <c r="J10" s="70">
        <v>1</v>
      </c>
      <c r="K10" s="70">
        <v>1</v>
      </c>
      <c r="L10" s="70">
        <v>1</v>
      </c>
      <c r="M10" s="70">
        <v>1</v>
      </c>
      <c r="N10" s="70">
        <v>1</v>
      </c>
      <c r="O10" s="70">
        <v>1</v>
      </c>
    </row>
    <row r="11" spans="1:16" ht="15.75" customHeight="1" x14ac:dyDescent="0.2">
      <c r="A11" s="75" t="s">
        <v>369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</row>
    <row r="12" spans="1:16" ht="15" customHeight="1" x14ac:dyDescent="0.2">
      <c r="B12" s="55" t="s">
        <v>370</v>
      </c>
      <c r="C12" s="69">
        <v>8000</v>
      </c>
      <c r="D12" s="70">
        <v>0</v>
      </c>
      <c r="E12" s="70">
        <v>0</v>
      </c>
      <c r="F12" s="70">
        <v>0</v>
      </c>
      <c r="G12" s="70">
        <v>0</v>
      </c>
      <c r="H12" s="70">
        <v>0</v>
      </c>
      <c r="I12" s="70">
        <v>0</v>
      </c>
      <c r="J12" s="70">
        <v>0</v>
      </c>
      <c r="K12" s="70">
        <v>0</v>
      </c>
      <c r="L12" s="70">
        <v>1</v>
      </c>
      <c r="M12" s="70">
        <v>1</v>
      </c>
      <c r="N12" s="70">
        <v>1</v>
      </c>
      <c r="O12" s="70">
        <v>1</v>
      </c>
    </row>
    <row r="13" spans="1:16" ht="15.75" customHeight="1" x14ac:dyDescent="0.2">
      <c r="A13" s="52" t="s">
        <v>371</v>
      </c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</row>
    <row r="15" spans="1:16" ht="15.75" customHeight="1" x14ac:dyDescent="0.2">
      <c r="A15" s="52" t="s">
        <v>372</v>
      </c>
      <c r="D15" s="78">
        <f>C5*D5+C7*D7+C8*D8+C10*D10+C12*D12</f>
        <v>3400</v>
      </c>
      <c r="E15" s="78">
        <f>C5*E5+C7*E7+C8*E8+C10*E10+C12*E12</f>
        <v>3400</v>
      </c>
      <c r="F15" s="78">
        <f>C5*F5+C7*F7+C8*F8+C10*F10+C12*F12</f>
        <v>3400</v>
      </c>
      <c r="G15" s="78">
        <f>C5*G5+C7*G7+C8*G8+C10*G10+C12*G12</f>
        <v>3400</v>
      </c>
      <c r="H15" s="78">
        <f>C5*H5+C7*H7+C8*H8+C10*H10+C12*H12</f>
        <v>7650</v>
      </c>
      <c r="I15" s="78">
        <f>C5*I5+C7*I7+C8*I8+C10*I10+C12*I12</f>
        <v>7650</v>
      </c>
      <c r="J15" s="78">
        <f>C5*J5+C7*J7+C8*J8+C10*J10+C12*J12</f>
        <v>15800</v>
      </c>
      <c r="K15" s="78">
        <f>C5*K5+C7*K7+C8*K8+C10*K10+C12*K12</f>
        <v>15800</v>
      </c>
      <c r="L15" s="78">
        <f>C5*L5+C7*L7+C8*L8+C10*L10+C12*L12</f>
        <v>23800</v>
      </c>
      <c r="M15" s="78">
        <f>C5*M5+C7*M7+C8*M8+C10*M10+C12*M12</f>
        <v>23800</v>
      </c>
      <c r="N15" s="78">
        <f>C5*N5+C7*N7+C8*N8+C10*N10+C12*N12</f>
        <v>27200</v>
      </c>
      <c r="O15" s="78">
        <f>C5*O5+C7*O7+C8*O8+C10*O10+C12*O12</f>
        <v>27200</v>
      </c>
      <c r="P15" s="7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zoomScaleNormal="100" workbookViewId="0">
      <selection activeCell="D34" sqref="D34"/>
    </sheetView>
  </sheetViews>
  <sheetFormatPr baseColWidth="10" defaultColWidth="8.5" defaultRowHeight="18" x14ac:dyDescent="0.2"/>
  <cols>
    <col min="1" max="1" width="31.6640625" style="50" customWidth="1"/>
    <col min="2" max="2" width="8.5" style="50" customWidth="1"/>
    <col min="3" max="16384" width="8.5" style="50"/>
  </cols>
  <sheetData>
    <row r="1" spans="1:13" ht="32" customHeight="1" x14ac:dyDescent="0.2">
      <c r="A1" s="108" t="s">
        <v>373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</row>
    <row r="2" spans="1:13" ht="15" customHeight="1" x14ac:dyDescent="0.2">
      <c r="A2" s="110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3" spans="1:13" ht="15" customHeight="1" x14ac:dyDescent="0.2">
      <c r="A3" s="50" t="s">
        <v>374</v>
      </c>
      <c r="B3" s="50" t="s">
        <v>98</v>
      </c>
      <c r="C3" s="50" t="s">
        <v>375</v>
      </c>
      <c r="D3" s="50" t="s">
        <v>376</v>
      </c>
      <c r="E3" s="50" t="s">
        <v>377</v>
      </c>
      <c r="F3" s="50" t="s">
        <v>378</v>
      </c>
      <c r="G3" s="50" t="s">
        <v>67</v>
      </c>
      <c r="H3" s="50" t="s">
        <v>379</v>
      </c>
      <c r="I3" s="50" t="s">
        <v>380</v>
      </c>
      <c r="J3" s="50" t="s">
        <v>381</v>
      </c>
      <c r="K3" s="50" t="s">
        <v>382</v>
      </c>
      <c r="L3" s="50" t="s">
        <v>383</v>
      </c>
      <c r="M3" s="50" t="s">
        <v>384</v>
      </c>
    </row>
    <row r="4" spans="1:13" x14ac:dyDescent="0.2">
      <c r="A4" s="110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</row>
    <row r="5" spans="1:13" ht="15" customHeight="1" x14ac:dyDescent="0.2">
      <c r="A5" s="109" t="s">
        <v>385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</row>
    <row r="6" spans="1:13" ht="18" customHeight="1" x14ac:dyDescent="0.2">
      <c r="A6" s="50" t="s">
        <v>386</v>
      </c>
      <c r="B6" s="50">
        <f>'Income Statement'!B20*4</f>
        <v>4800</v>
      </c>
      <c r="C6" s="50">
        <f>'Income Statement'!C20*4</f>
        <v>4800</v>
      </c>
      <c r="D6" s="50">
        <f>'Income Statement'!D20*4</f>
        <v>5700</v>
      </c>
      <c r="E6" s="50">
        <f>'Income Statement'!E20*4</f>
        <v>6600</v>
      </c>
      <c r="F6" s="50">
        <f>'Income Statement'!F20*4</f>
        <v>7050</v>
      </c>
      <c r="G6" s="50">
        <f>'Income Statement'!G20*4</f>
        <v>7500</v>
      </c>
      <c r="H6" s="50">
        <f>'Income Statement'!H20*4</f>
        <v>10488</v>
      </c>
      <c r="I6" s="50">
        <f>'Income Statement'!I20*4</f>
        <v>12984</v>
      </c>
      <c r="J6" s="50">
        <f>'Income Statement'!J20*4</f>
        <v>15480</v>
      </c>
      <c r="K6" s="50">
        <f>'Income Statement'!K20*4</f>
        <v>18672</v>
      </c>
      <c r="L6" s="50">
        <f>'Income Statement'!L20*4</f>
        <v>23664</v>
      </c>
      <c r="M6" s="50">
        <f>'Income Statement'!M20*4</f>
        <v>29640</v>
      </c>
    </row>
    <row r="7" spans="1:13" ht="17" customHeight="1" x14ac:dyDescent="0.2">
      <c r="A7" s="50" t="s">
        <v>387</v>
      </c>
      <c r="B7" s="50">
        <f>'Income Statement'!B33*4</f>
        <v>6920</v>
      </c>
      <c r="C7" s="50">
        <f>'Income Statement'!C33*4</f>
        <v>6824</v>
      </c>
      <c r="D7" s="50">
        <f>'Income Statement'!D33*4</f>
        <v>6728</v>
      </c>
      <c r="E7" s="50">
        <f>'Income Statement'!E33*4</f>
        <v>8552</v>
      </c>
      <c r="F7" s="50">
        <f>'Income Statement'!F33*4</f>
        <v>10280</v>
      </c>
      <c r="G7" s="50">
        <f>'Income Statement'!G33*4</f>
        <v>11912</v>
      </c>
      <c r="H7" s="50">
        <f>'Income Statement'!H33*4</f>
        <v>15248</v>
      </c>
      <c r="I7" s="50">
        <f>'Income Statement'!I33*4</f>
        <v>17384</v>
      </c>
      <c r="J7" s="50">
        <f>'Income Statement'!J33*4</f>
        <v>21344</v>
      </c>
      <c r="K7" s="50">
        <f>'Income Statement'!K33*4</f>
        <v>24424</v>
      </c>
      <c r="L7" s="50">
        <f>'Income Statement'!L33*4</f>
        <v>30316</v>
      </c>
      <c r="M7" s="50">
        <f>'Income Statement'!M33*4</f>
        <v>40264</v>
      </c>
    </row>
    <row r="8" spans="1:13" ht="17" customHeight="1" x14ac:dyDescent="0.2">
      <c r="A8" s="50" t="s">
        <v>388</v>
      </c>
      <c r="B8" s="50">
        <f>'Income Statement'!B50*4</f>
        <v>0</v>
      </c>
      <c r="C8" s="50">
        <f>'Income Statement'!C50*4</f>
        <v>0</v>
      </c>
      <c r="D8" s="50">
        <f>'Income Statement'!D50*4</f>
        <v>0</v>
      </c>
      <c r="E8" s="50">
        <f>'Income Statement'!E50*4</f>
        <v>0</v>
      </c>
      <c r="F8" s="50">
        <f>'Income Statement'!F50*4</f>
        <v>0</v>
      </c>
      <c r="G8" s="50">
        <f>'Income Statement'!G50*4</f>
        <v>44640</v>
      </c>
      <c r="H8" s="50">
        <f>'Income Statement'!H50*4</f>
        <v>47752</v>
      </c>
      <c r="I8" s="50">
        <f>'Income Statement'!I50*4</f>
        <v>50864</v>
      </c>
      <c r="J8" s="50">
        <f>'Income Statement'!J50*4</f>
        <v>56616</v>
      </c>
      <c r="K8" s="50">
        <f>'Income Statement'!K50*4</f>
        <v>100656</v>
      </c>
      <c r="L8" s="50">
        <f>'Income Statement'!L50*4</f>
        <v>103520</v>
      </c>
      <c r="M8" s="50">
        <f>'Income Statement'!M50*4</f>
        <v>106384</v>
      </c>
    </row>
    <row r="9" spans="1:13" ht="18" customHeight="1" x14ac:dyDescent="0.2">
      <c r="A9" s="50" t="s">
        <v>389</v>
      </c>
      <c r="B9" s="50">
        <f t="shared" ref="B9:M9" si="0">B6+B7+B8</f>
        <v>11720</v>
      </c>
      <c r="C9" s="50">
        <f t="shared" si="0"/>
        <v>11624</v>
      </c>
      <c r="D9" s="50">
        <f t="shared" si="0"/>
        <v>12428</v>
      </c>
      <c r="E9" s="50">
        <f t="shared" si="0"/>
        <v>15152</v>
      </c>
      <c r="F9" s="50">
        <f t="shared" si="0"/>
        <v>17330</v>
      </c>
      <c r="G9" s="50">
        <f t="shared" si="0"/>
        <v>64052</v>
      </c>
      <c r="H9" s="50">
        <f t="shared" si="0"/>
        <v>73488</v>
      </c>
      <c r="I9" s="50">
        <f t="shared" si="0"/>
        <v>81232</v>
      </c>
      <c r="J9" s="50">
        <f t="shared" si="0"/>
        <v>93440</v>
      </c>
      <c r="K9" s="50">
        <f t="shared" si="0"/>
        <v>143752</v>
      </c>
      <c r="L9" s="50">
        <f t="shared" si="0"/>
        <v>157500</v>
      </c>
      <c r="M9" s="50">
        <f t="shared" si="0"/>
        <v>176288</v>
      </c>
    </row>
    <row r="10" spans="1:13" x14ac:dyDescent="0.2">
      <c r="A10" s="110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</row>
    <row r="11" spans="1:13" ht="17" customHeight="1" x14ac:dyDescent="0.2">
      <c r="A11" s="50" t="s">
        <v>390</v>
      </c>
    </row>
    <row r="12" spans="1:13" ht="19" customHeight="1" x14ac:dyDescent="0.2">
      <c r="A12" s="50" t="s">
        <v>391</v>
      </c>
      <c r="B12" s="50">
        <v>0</v>
      </c>
      <c r="C12" s="50">
        <f t="shared" ref="C12:M12" si="1">B16</f>
        <v>8870</v>
      </c>
      <c r="D12" s="50">
        <f t="shared" si="1"/>
        <v>8980.1</v>
      </c>
      <c r="E12" s="50">
        <f t="shared" si="1"/>
        <v>12467.015000000001</v>
      </c>
      <c r="F12" s="50">
        <f t="shared" si="1"/>
        <v>21251.90425</v>
      </c>
      <c r="G12" s="50">
        <f t="shared" si="1"/>
        <v>29743.469037499999</v>
      </c>
      <c r="H12" s="50">
        <f t="shared" si="1"/>
        <v>58608.695585624999</v>
      </c>
      <c r="I12" s="50">
        <f t="shared" si="1"/>
        <v>69072.420806343755</v>
      </c>
      <c r="J12" s="50">
        <f t="shared" si="1"/>
        <v>82918.799766026568</v>
      </c>
      <c r="K12" s="50">
        <f t="shared" si="1"/>
        <v>122632.69977772524</v>
      </c>
      <c r="L12" s="50">
        <f t="shared" si="1"/>
        <v>161137.86478883895</v>
      </c>
      <c r="M12" s="50">
        <f t="shared" si="1"/>
        <v>189697.37154939701</v>
      </c>
    </row>
    <row r="13" spans="1:13" ht="17" customHeight="1" x14ac:dyDescent="0.2">
      <c r="A13" s="50" t="s">
        <v>392</v>
      </c>
      <c r="B13" s="50">
        <v>8870</v>
      </c>
      <c r="C13" s="50">
        <v>0</v>
      </c>
      <c r="D13" s="50">
        <v>3390</v>
      </c>
      <c r="E13" s="50">
        <v>8870</v>
      </c>
      <c r="F13" s="50">
        <v>8870</v>
      </c>
      <c r="G13" s="50">
        <v>29530</v>
      </c>
      <c r="H13" s="50">
        <v>8870</v>
      </c>
      <c r="I13" s="50">
        <v>12260</v>
      </c>
      <c r="J13" s="50">
        <v>38400</v>
      </c>
      <c r="K13" s="50">
        <v>38400</v>
      </c>
      <c r="L13" s="50">
        <v>26610</v>
      </c>
      <c r="M13" s="50">
        <v>28700</v>
      </c>
    </row>
    <row r="14" spans="1:13" ht="17" customHeight="1" x14ac:dyDescent="0.2">
      <c r="A14" s="50" t="s">
        <v>393</v>
      </c>
      <c r="B14" s="50">
        <v>0</v>
      </c>
      <c r="C14" s="50">
        <f>(B7+B8)*'Key Assumptions'!C17</f>
        <v>553.6</v>
      </c>
      <c r="D14" s="50">
        <f>(C7+C8)*'Key Assumptions'!C17</f>
        <v>545.91999999999996</v>
      </c>
      <c r="E14" s="50">
        <f>(D7+D8)*'Key Assumptions'!C17</f>
        <v>538.24</v>
      </c>
      <c r="F14" s="50">
        <f>(E7+E8)*'Key Assumptions'!C17</f>
        <v>684.16</v>
      </c>
      <c r="G14" s="50">
        <f>(F7+F8)*'Key Assumptions'!C17</f>
        <v>822.4</v>
      </c>
      <c r="H14" s="50">
        <f>(G7+G8)*'Key Assumptions'!C17</f>
        <v>4524.16</v>
      </c>
      <c r="I14" s="50">
        <f>(H7+H8)*'Key Assumptions'!C17</f>
        <v>5040</v>
      </c>
      <c r="J14" s="50">
        <f>(I7+I8)*'Key Assumptions'!C17</f>
        <v>5459.84</v>
      </c>
      <c r="K14" s="50">
        <f>(J7+J8)*'Key Assumptions'!C17</f>
        <v>6236.8</v>
      </c>
      <c r="L14" s="50">
        <f>(K7+K8)*'Key Assumptions'!C17</f>
        <v>10006.4</v>
      </c>
      <c r="M14" s="50">
        <f>(L7+L8)*'Key Assumptions'!C17</f>
        <v>10706.880000000001</v>
      </c>
    </row>
    <row r="15" spans="1:13" ht="18" customHeight="1" x14ac:dyDescent="0.2">
      <c r="A15" s="50" t="s">
        <v>394</v>
      </c>
      <c r="B15" s="50">
        <v>0</v>
      </c>
      <c r="C15" s="50">
        <f>C12*'Key Assumptions'!C16</f>
        <v>443.5</v>
      </c>
      <c r="D15" s="50">
        <f>D12*'Key Assumptions'!C16</f>
        <v>449.00500000000005</v>
      </c>
      <c r="E15" s="50">
        <f>E12*'Key Assumptions'!C16</f>
        <v>623.35075000000006</v>
      </c>
      <c r="F15" s="50">
        <f>F12*'Key Assumptions'!C16</f>
        <v>1062.5952125000001</v>
      </c>
      <c r="G15" s="50">
        <f>G12*'Key Assumptions'!C16</f>
        <v>1487.173451875</v>
      </c>
      <c r="H15" s="50">
        <f>H12*'Key Assumptions'!C16</f>
        <v>2930.43477928125</v>
      </c>
      <c r="I15" s="50">
        <f>I12*'Key Assumptions'!C16</f>
        <v>3453.6210403171881</v>
      </c>
      <c r="J15" s="50">
        <f>J12*'Key Assumptions'!C16</f>
        <v>4145.9399883013284</v>
      </c>
      <c r="K15" s="50">
        <f>K12*'Key Assumptions'!C16</f>
        <v>6131.6349888862624</v>
      </c>
      <c r="L15" s="50">
        <f>L12*'Key Assumptions'!C16</f>
        <v>8056.893239441948</v>
      </c>
      <c r="M15" s="50">
        <f>M12*'Key Assumptions'!C16</f>
        <v>9484.8685774698515</v>
      </c>
    </row>
    <row r="16" spans="1:13" ht="18" customHeight="1" x14ac:dyDescent="0.2">
      <c r="A16" s="50" t="s">
        <v>395</v>
      </c>
      <c r="B16" s="50">
        <f t="shared" ref="B16:M16" si="2">B12+B13+B14-B15</f>
        <v>8870</v>
      </c>
      <c r="C16" s="50">
        <f t="shared" si="2"/>
        <v>8980.1</v>
      </c>
      <c r="D16" s="50">
        <f t="shared" si="2"/>
        <v>12467.015000000001</v>
      </c>
      <c r="E16" s="50">
        <f t="shared" si="2"/>
        <v>21251.90425</v>
      </c>
      <c r="F16" s="50">
        <f t="shared" si="2"/>
        <v>29743.469037499999</v>
      </c>
      <c r="G16" s="50">
        <f t="shared" si="2"/>
        <v>58608.695585624999</v>
      </c>
      <c r="H16" s="50">
        <f t="shared" si="2"/>
        <v>69072.420806343755</v>
      </c>
      <c r="I16" s="50">
        <f t="shared" si="2"/>
        <v>82918.799766026568</v>
      </c>
      <c r="J16" s="50">
        <f t="shared" si="2"/>
        <v>122632.69977772524</v>
      </c>
      <c r="K16" s="50">
        <f t="shared" si="2"/>
        <v>161137.86478883895</v>
      </c>
      <c r="L16" s="50">
        <f t="shared" si="2"/>
        <v>189697.37154939701</v>
      </c>
      <c r="M16" s="50">
        <f t="shared" si="2"/>
        <v>219619.38297192717</v>
      </c>
    </row>
    <row r="17" spans="1:13" ht="18" customHeight="1" x14ac:dyDescent="0.2">
      <c r="A17" s="50" t="s">
        <v>396</v>
      </c>
      <c r="B17" s="50">
        <f t="shared" ref="B17:M17" si="3">B16-B12</f>
        <v>8870</v>
      </c>
      <c r="C17" s="50">
        <f t="shared" si="3"/>
        <v>110.10000000000036</v>
      </c>
      <c r="D17" s="50">
        <f t="shared" si="3"/>
        <v>3486.9150000000009</v>
      </c>
      <c r="E17" s="50">
        <f t="shared" si="3"/>
        <v>8784.8892499999984</v>
      </c>
      <c r="F17" s="50">
        <f t="shared" si="3"/>
        <v>8491.5647874999995</v>
      </c>
      <c r="G17" s="50">
        <f t="shared" si="3"/>
        <v>28865.226548125</v>
      </c>
      <c r="H17" s="50">
        <f t="shared" si="3"/>
        <v>10463.725220718756</v>
      </c>
      <c r="I17" s="50">
        <f t="shared" si="3"/>
        <v>13846.378959682814</v>
      </c>
      <c r="J17" s="50">
        <f t="shared" si="3"/>
        <v>39713.900011698672</v>
      </c>
      <c r="K17" s="50">
        <f t="shared" si="3"/>
        <v>38505.165011113713</v>
      </c>
      <c r="L17" s="50">
        <f t="shared" si="3"/>
        <v>28559.506760558055</v>
      </c>
      <c r="M17" s="50">
        <f t="shared" si="3"/>
        <v>29922.011422530166</v>
      </c>
    </row>
    <row r="18" spans="1:13" x14ac:dyDescent="0.2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</row>
    <row r="19" spans="1:13" ht="17" customHeight="1" x14ac:dyDescent="0.2">
      <c r="A19" s="50" t="s">
        <v>397</v>
      </c>
    </row>
    <row r="20" spans="1:13" ht="18" customHeight="1" x14ac:dyDescent="0.2">
      <c r="A20" s="50" t="s">
        <v>398</v>
      </c>
      <c r="B20" s="50">
        <f t="shared" ref="B20:M20" si="4">B12/12</f>
        <v>0</v>
      </c>
      <c r="C20" s="50">
        <f t="shared" si="4"/>
        <v>739.16666666666663</v>
      </c>
      <c r="D20" s="50">
        <f t="shared" si="4"/>
        <v>748.3416666666667</v>
      </c>
      <c r="E20" s="50">
        <f t="shared" si="4"/>
        <v>1038.9179166666668</v>
      </c>
      <c r="F20" s="50">
        <f t="shared" si="4"/>
        <v>1770.9920208333333</v>
      </c>
      <c r="G20" s="50">
        <f t="shared" si="4"/>
        <v>2478.6224197916667</v>
      </c>
      <c r="H20" s="50">
        <f t="shared" si="4"/>
        <v>4884.0579654687499</v>
      </c>
      <c r="I20" s="50">
        <f t="shared" si="4"/>
        <v>5756.0350671953129</v>
      </c>
      <c r="J20" s="50">
        <f t="shared" si="4"/>
        <v>6909.899980502214</v>
      </c>
      <c r="K20" s="50">
        <f t="shared" si="4"/>
        <v>10219.39164814377</v>
      </c>
      <c r="L20" s="50">
        <f t="shared" si="4"/>
        <v>13428.155399069912</v>
      </c>
      <c r="M20" s="50">
        <f t="shared" si="4"/>
        <v>15808.114295783083</v>
      </c>
    </row>
    <row r="21" spans="1:13" ht="20" customHeight="1" x14ac:dyDescent="0.2">
      <c r="A21" s="50" t="s">
        <v>399</v>
      </c>
      <c r="B21" s="50">
        <f t="shared" ref="B21:M21" si="5">B16/12</f>
        <v>739.16666666666663</v>
      </c>
      <c r="C21" s="50">
        <f t="shared" si="5"/>
        <v>748.3416666666667</v>
      </c>
      <c r="D21" s="50">
        <f t="shared" si="5"/>
        <v>1038.9179166666668</v>
      </c>
      <c r="E21" s="50">
        <f t="shared" si="5"/>
        <v>1770.9920208333333</v>
      </c>
      <c r="F21" s="50">
        <f t="shared" si="5"/>
        <v>2478.6224197916667</v>
      </c>
      <c r="G21" s="50">
        <f t="shared" si="5"/>
        <v>4884.0579654687499</v>
      </c>
      <c r="H21" s="50">
        <f t="shared" si="5"/>
        <v>5756.0350671953129</v>
      </c>
      <c r="I21" s="50">
        <f t="shared" si="5"/>
        <v>6909.899980502214</v>
      </c>
      <c r="J21" s="50">
        <f t="shared" si="5"/>
        <v>10219.39164814377</v>
      </c>
      <c r="K21" s="50">
        <f t="shared" si="5"/>
        <v>13428.155399069912</v>
      </c>
      <c r="L21" s="50">
        <f t="shared" si="5"/>
        <v>15808.114295783083</v>
      </c>
      <c r="M21" s="50">
        <f t="shared" si="5"/>
        <v>18301.615247660597</v>
      </c>
    </row>
    <row r="22" spans="1:13" ht="17" customHeight="1" x14ac:dyDescent="0.2">
      <c r="A22" s="50" t="s">
        <v>400</v>
      </c>
      <c r="B22" s="50">
        <f t="shared" ref="B22:M22" si="6">B17/12</f>
        <v>739.16666666666663</v>
      </c>
      <c r="C22" s="50">
        <f t="shared" si="6"/>
        <v>9.1750000000000309</v>
      </c>
      <c r="D22" s="50">
        <f t="shared" si="6"/>
        <v>290.57625000000007</v>
      </c>
      <c r="E22" s="50">
        <f t="shared" si="6"/>
        <v>732.07410416666653</v>
      </c>
      <c r="F22" s="50">
        <f t="shared" si="6"/>
        <v>707.63039895833333</v>
      </c>
      <c r="G22" s="50">
        <f t="shared" si="6"/>
        <v>2405.4355456770832</v>
      </c>
      <c r="H22" s="50">
        <f t="shared" si="6"/>
        <v>871.97710172656298</v>
      </c>
      <c r="I22" s="50">
        <f t="shared" si="6"/>
        <v>1153.8649133069011</v>
      </c>
      <c r="J22" s="50">
        <f t="shared" si="6"/>
        <v>3309.491667641556</v>
      </c>
      <c r="K22" s="50">
        <f t="shared" si="6"/>
        <v>3208.7637509261426</v>
      </c>
      <c r="L22" s="50">
        <f t="shared" si="6"/>
        <v>2379.9588967131713</v>
      </c>
      <c r="M22" s="50">
        <f t="shared" si="6"/>
        <v>2493.5009518775137</v>
      </c>
    </row>
    <row r="23" spans="1:13" x14ac:dyDescent="0.2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</row>
    <row r="24" spans="1:13" ht="15" customHeight="1" x14ac:dyDescent="0.2">
      <c r="A24" s="50" t="s">
        <v>401</v>
      </c>
    </row>
    <row r="25" spans="1:13" ht="15" customHeight="1" x14ac:dyDescent="0.2">
      <c r="A25" s="50" t="s">
        <v>402</v>
      </c>
      <c r="B25" s="50" t="s">
        <v>403</v>
      </c>
      <c r="C25" s="50">
        <f t="shared" ref="C25:M25" si="7">IFERROR((C16-C12)/C12,"-")</f>
        <v>1.2412626832018079E-2</v>
      </c>
      <c r="D25" s="50">
        <f t="shared" si="7"/>
        <v>0.388293560205343</v>
      </c>
      <c r="E25" s="50">
        <f t="shared" si="7"/>
        <v>0.70465057192920655</v>
      </c>
      <c r="F25" s="50">
        <f t="shared" si="7"/>
        <v>0.39956724289777468</v>
      </c>
      <c r="G25" s="50">
        <f t="shared" si="7"/>
        <v>0.97047276199465071</v>
      </c>
      <c r="H25" s="50">
        <f t="shared" si="7"/>
        <v>0.1785353711793784</v>
      </c>
      <c r="I25" s="50">
        <f t="shared" si="7"/>
        <v>0.20046175880390069</v>
      </c>
      <c r="J25" s="50">
        <f t="shared" si="7"/>
        <v>0.47894928681746574</v>
      </c>
      <c r="K25" s="50">
        <f t="shared" si="7"/>
        <v>0.31398774617948771</v>
      </c>
      <c r="L25" s="50">
        <f t="shared" si="7"/>
        <v>0.17723647261916678</v>
      </c>
      <c r="M25" s="50">
        <f t="shared" si="7"/>
        <v>0.15773550881667595</v>
      </c>
    </row>
    <row r="26" spans="1:13" ht="15" customHeight="1" x14ac:dyDescent="0.2">
      <c r="A26" s="50" t="s">
        <v>404</v>
      </c>
      <c r="B26" s="50">
        <v>0</v>
      </c>
      <c r="C26" s="50">
        <f t="shared" ref="C26:M26" si="8">IFERROR(C15/C12,0)</f>
        <v>0.05</v>
      </c>
      <c r="D26" s="50">
        <f t="shared" si="8"/>
        <v>0.05</v>
      </c>
      <c r="E26" s="50">
        <f t="shared" si="8"/>
        <v>0.05</v>
      </c>
      <c r="F26" s="50">
        <f t="shared" si="8"/>
        <v>5.000000000000001E-2</v>
      </c>
      <c r="G26" s="50">
        <f t="shared" si="8"/>
        <v>0.05</v>
      </c>
      <c r="H26" s="50">
        <f t="shared" si="8"/>
        <v>0.05</v>
      </c>
      <c r="I26" s="50">
        <f t="shared" si="8"/>
        <v>0.05</v>
      </c>
      <c r="J26" s="50">
        <f t="shared" si="8"/>
        <v>0.05</v>
      </c>
      <c r="K26" s="50">
        <f t="shared" si="8"/>
        <v>0.05</v>
      </c>
      <c r="L26" s="50">
        <f t="shared" si="8"/>
        <v>0.05</v>
      </c>
      <c r="M26" s="50">
        <f t="shared" si="8"/>
        <v>0.05</v>
      </c>
    </row>
    <row r="27" spans="1:13" ht="15" customHeight="1" x14ac:dyDescent="0.2">
      <c r="A27" s="50" t="s">
        <v>405</v>
      </c>
      <c r="B27" s="50" t="s">
        <v>403</v>
      </c>
      <c r="C27" s="50">
        <f t="shared" ref="C27:M27" si="9">IFERROR((C12+C14-C15)/C12,"-")</f>
        <v>1.0124126268320182</v>
      </c>
      <c r="D27" s="50">
        <f t="shared" si="9"/>
        <v>1.0107921960779949</v>
      </c>
      <c r="E27" s="50">
        <f t="shared" si="9"/>
        <v>0.99317312524289092</v>
      </c>
      <c r="F27" s="50">
        <f t="shared" si="9"/>
        <v>0.98219287984510839</v>
      </c>
      <c r="G27" s="50">
        <f t="shared" si="9"/>
        <v>0.9776497673813076</v>
      </c>
      <c r="H27" s="50">
        <f t="shared" si="9"/>
        <v>1.0271926410372056</v>
      </c>
      <c r="I27" s="50">
        <f t="shared" si="9"/>
        <v>1.0229668938943155</v>
      </c>
      <c r="J27" s="50">
        <f t="shared" si="9"/>
        <v>1.0158456226501846</v>
      </c>
      <c r="K27" s="50">
        <f t="shared" si="9"/>
        <v>1.0008575609222039</v>
      </c>
      <c r="L27" s="50">
        <f t="shared" si="9"/>
        <v>1.0120983777656032</v>
      </c>
      <c r="M27" s="50">
        <f t="shared" si="9"/>
        <v>1.0064418996032951</v>
      </c>
    </row>
    <row r="28" spans="1:13" ht="15" customHeight="1" x14ac:dyDescent="0.2">
      <c r="A28" s="50" t="s">
        <v>406</v>
      </c>
      <c r="B28" s="50" t="s">
        <v>403</v>
      </c>
      <c r="C28" s="50">
        <f t="shared" ref="C28:M28" si="10">IFERROR((C13+C14)/C15,"-")</f>
        <v>1.2482525366403607</v>
      </c>
      <c r="D28" s="50">
        <f t="shared" si="10"/>
        <v>8.7658712041068583</v>
      </c>
      <c r="E28" s="50">
        <f t="shared" si="10"/>
        <v>15.093011438584133</v>
      </c>
      <c r="F28" s="50">
        <f t="shared" si="10"/>
        <v>8.9913448579554931</v>
      </c>
      <c r="G28" s="50">
        <f t="shared" si="10"/>
        <v>20.409455239893017</v>
      </c>
      <c r="H28" s="50">
        <f t="shared" si="10"/>
        <v>4.5707074235875655</v>
      </c>
      <c r="I28" s="50">
        <f t="shared" si="10"/>
        <v>5.0092351760780129</v>
      </c>
      <c r="J28" s="50">
        <f t="shared" si="10"/>
        <v>10.578985736349315</v>
      </c>
      <c r="K28" s="50">
        <f t="shared" si="10"/>
        <v>7.279754923589759</v>
      </c>
      <c r="L28" s="50">
        <f t="shared" si="10"/>
        <v>4.5447294523833355</v>
      </c>
      <c r="M28" s="50">
        <f t="shared" si="10"/>
        <v>4.1547101763335172</v>
      </c>
    </row>
    <row r="30" spans="1:13" ht="15" customHeight="1" x14ac:dyDescent="0.2">
      <c r="A30" s="50" t="s">
        <v>407</v>
      </c>
    </row>
  </sheetData>
  <mergeCells count="5">
    <mergeCell ref="A1:M1"/>
    <mergeCell ref="A5:M5"/>
    <mergeCell ref="A4:M4"/>
    <mergeCell ref="A2:M2"/>
    <mergeCell ref="A10:M1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0"/>
  <sheetViews>
    <sheetView zoomScaleNormal="100" workbookViewId="0">
      <selection activeCell="Q21" sqref="Q21"/>
    </sheetView>
  </sheetViews>
  <sheetFormatPr baseColWidth="10" defaultColWidth="8.5" defaultRowHeight="18" x14ac:dyDescent="0.2"/>
  <cols>
    <col min="1" max="1" width="39.6640625" style="50" customWidth="1"/>
    <col min="2" max="2" width="8.5" style="50" customWidth="1"/>
    <col min="3" max="16384" width="8.5" style="50"/>
  </cols>
  <sheetData>
    <row r="1" spans="1:13" ht="15" customHeight="1" x14ac:dyDescent="0.2">
      <c r="A1" s="50" t="s">
        <v>408</v>
      </c>
    </row>
    <row r="2" spans="1:13" ht="15" customHeight="1" x14ac:dyDescent="0.2">
      <c r="A2" s="50" t="s">
        <v>409</v>
      </c>
    </row>
    <row r="3" spans="1:13" ht="15" customHeight="1" x14ac:dyDescent="0.2">
      <c r="A3" s="50" t="s">
        <v>374</v>
      </c>
      <c r="B3" s="50" t="s">
        <v>98</v>
      </c>
      <c r="C3" s="50" t="s">
        <v>375</v>
      </c>
      <c r="D3" s="50" t="s">
        <v>376</v>
      </c>
      <c r="E3" s="50" t="s">
        <v>377</v>
      </c>
      <c r="F3" s="50" t="s">
        <v>378</v>
      </c>
      <c r="G3" s="50" t="s">
        <v>67</v>
      </c>
      <c r="H3" s="50" t="s">
        <v>379</v>
      </c>
      <c r="I3" s="50" t="s">
        <v>380</v>
      </c>
      <c r="J3" s="50" t="s">
        <v>381</v>
      </c>
      <c r="K3" s="50" t="s">
        <v>382</v>
      </c>
      <c r="L3" s="50" t="s">
        <v>383</v>
      </c>
      <c r="M3" s="50" t="s">
        <v>384</v>
      </c>
    </row>
    <row r="5" spans="1:13" ht="15" customHeight="1" x14ac:dyDescent="0.2">
      <c r="A5" s="50" t="s">
        <v>410</v>
      </c>
    </row>
    <row r="6" spans="1:13" ht="15" customHeight="1" x14ac:dyDescent="0.2">
      <c r="A6" s="50" t="s">
        <v>411</v>
      </c>
      <c r="B6" s="50">
        <v>0</v>
      </c>
      <c r="C6" s="50">
        <f t="shared" ref="C6:M6" si="0">B9</f>
        <v>1</v>
      </c>
      <c r="D6" s="50">
        <f t="shared" si="0"/>
        <v>1</v>
      </c>
      <c r="E6" s="50">
        <f t="shared" si="0"/>
        <v>2</v>
      </c>
      <c r="F6" s="50">
        <f t="shared" si="0"/>
        <v>3</v>
      </c>
      <c r="G6" s="50">
        <f t="shared" si="0"/>
        <v>4</v>
      </c>
      <c r="H6" s="50">
        <f t="shared" si="0"/>
        <v>5</v>
      </c>
      <c r="I6" s="50">
        <f t="shared" si="0"/>
        <v>6</v>
      </c>
      <c r="J6" s="50">
        <f t="shared" si="0"/>
        <v>8</v>
      </c>
      <c r="K6" s="50">
        <f t="shared" si="0"/>
        <v>10</v>
      </c>
      <c r="L6" s="50">
        <f t="shared" si="0"/>
        <v>11</v>
      </c>
      <c r="M6" s="50">
        <f t="shared" si="0"/>
        <v>13</v>
      </c>
    </row>
    <row r="7" spans="1:13" ht="15" customHeight="1" x14ac:dyDescent="0.2">
      <c r="A7" s="50" t="s">
        <v>412</v>
      </c>
      <c r="B7" s="50">
        <v>1</v>
      </c>
      <c r="C7" s="50">
        <v>0</v>
      </c>
      <c r="D7" s="50">
        <v>1</v>
      </c>
      <c r="E7" s="50">
        <v>1</v>
      </c>
      <c r="F7" s="50">
        <v>1</v>
      </c>
      <c r="G7" s="50">
        <v>1</v>
      </c>
      <c r="H7" s="50">
        <v>1</v>
      </c>
      <c r="I7" s="50">
        <v>2</v>
      </c>
      <c r="J7" s="50">
        <v>2</v>
      </c>
      <c r="K7" s="50">
        <v>2</v>
      </c>
      <c r="L7" s="50">
        <v>3</v>
      </c>
      <c r="M7" s="50">
        <v>2</v>
      </c>
    </row>
    <row r="8" spans="1:13" ht="15" customHeight="1" x14ac:dyDescent="0.2">
      <c r="A8" s="50" t="s">
        <v>413</v>
      </c>
      <c r="B8" s="50">
        <v>0</v>
      </c>
      <c r="C8" s="50">
        <f>ROUND(C6*'Key Assumptions'!C16,0)</f>
        <v>0</v>
      </c>
      <c r="D8" s="50">
        <f>ROUND(D6*'Key Assumptions'!C16,0)</f>
        <v>0</v>
      </c>
      <c r="E8" s="50">
        <f>ROUND(E6*'Key Assumptions'!C16,0)</f>
        <v>0</v>
      </c>
      <c r="F8" s="50">
        <f>ROUND(F6*'Key Assumptions'!C16,0)</f>
        <v>0</v>
      </c>
      <c r="G8" s="50">
        <f>ROUND(G6*'Key Assumptions'!C16,0)</f>
        <v>0</v>
      </c>
      <c r="H8" s="50">
        <f>ROUND(H6*'Key Assumptions'!C16,0)</f>
        <v>0</v>
      </c>
      <c r="I8" s="50">
        <f>ROUND(I6*'Key Assumptions'!C16,0)</f>
        <v>0</v>
      </c>
      <c r="J8" s="50">
        <f>ROUND(J6*'Key Assumptions'!C16,0)</f>
        <v>0</v>
      </c>
      <c r="K8" s="50">
        <f>ROUND(K6*'Key Assumptions'!C16,0)</f>
        <v>1</v>
      </c>
      <c r="L8" s="50">
        <f>ROUND(L6*'Key Assumptions'!C16,0)</f>
        <v>1</v>
      </c>
      <c r="M8" s="50">
        <f>ROUND(M6*'Key Assumptions'!C16,0)</f>
        <v>1</v>
      </c>
    </row>
    <row r="9" spans="1:13" ht="15" customHeight="1" x14ac:dyDescent="0.2">
      <c r="A9" s="50" t="s">
        <v>414</v>
      </c>
      <c r="B9" s="50">
        <f t="shared" ref="B9:M9" si="1">B6+B7-B8</f>
        <v>1</v>
      </c>
      <c r="C9" s="50">
        <f t="shared" si="1"/>
        <v>1</v>
      </c>
      <c r="D9" s="50">
        <f t="shared" si="1"/>
        <v>2</v>
      </c>
      <c r="E9" s="50">
        <f t="shared" si="1"/>
        <v>3</v>
      </c>
      <c r="F9" s="50">
        <f t="shared" si="1"/>
        <v>4</v>
      </c>
      <c r="G9" s="50">
        <f t="shared" si="1"/>
        <v>5</v>
      </c>
      <c r="H9" s="50">
        <f t="shared" si="1"/>
        <v>6</v>
      </c>
      <c r="I9" s="50">
        <f t="shared" si="1"/>
        <v>8</v>
      </c>
      <c r="J9" s="50">
        <f t="shared" si="1"/>
        <v>10</v>
      </c>
      <c r="K9" s="50">
        <f t="shared" si="1"/>
        <v>11</v>
      </c>
      <c r="L9" s="50">
        <f t="shared" si="1"/>
        <v>13</v>
      </c>
      <c r="M9" s="50">
        <f t="shared" si="1"/>
        <v>14</v>
      </c>
    </row>
    <row r="10" spans="1:13" ht="15" customHeight="1" x14ac:dyDescent="0.2">
      <c r="A10" s="50" t="s">
        <v>415</v>
      </c>
    </row>
    <row r="11" spans="1:13" ht="15" customHeight="1" x14ac:dyDescent="0.2">
      <c r="A11" s="50" t="s">
        <v>416</v>
      </c>
      <c r="B11" s="50">
        <v>0</v>
      </c>
      <c r="C11" s="50">
        <f t="shared" ref="C11:M11" si="2">B14</f>
        <v>1</v>
      </c>
      <c r="D11" s="50">
        <f t="shared" si="2"/>
        <v>1</v>
      </c>
      <c r="E11" s="50">
        <f t="shared" si="2"/>
        <v>1</v>
      </c>
      <c r="F11" s="50">
        <f t="shared" si="2"/>
        <v>2</v>
      </c>
      <c r="G11" s="50">
        <f t="shared" si="2"/>
        <v>3</v>
      </c>
      <c r="H11" s="50">
        <f t="shared" si="2"/>
        <v>4</v>
      </c>
      <c r="I11" s="50">
        <f t="shared" si="2"/>
        <v>5</v>
      </c>
      <c r="J11" s="50">
        <f t="shared" si="2"/>
        <v>6</v>
      </c>
      <c r="K11" s="50">
        <f t="shared" si="2"/>
        <v>8</v>
      </c>
      <c r="L11" s="50">
        <f t="shared" si="2"/>
        <v>10</v>
      </c>
      <c r="M11" s="50">
        <f t="shared" si="2"/>
        <v>12</v>
      </c>
    </row>
    <row r="12" spans="1:13" ht="15" customHeight="1" x14ac:dyDescent="0.2">
      <c r="A12" s="50" t="s">
        <v>417</v>
      </c>
      <c r="B12" s="50">
        <v>1</v>
      </c>
      <c r="C12" s="50">
        <v>0</v>
      </c>
      <c r="D12" s="50">
        <v>0</v>
      </c>
      <c r="E12" s="50">
        <v>1</v>
      </c>
      <c r="F12" s="50">
        <v>1</v>
      </c>
      <c r="G12" s="50">
        <v>1</v>
      </c>
      <c r="H12" s="50">
        <v>1</v>
      </c>
      <c r="I12" s="50">
        <v>1</v>
      </c>
      <c r="J12" s="50">
        <v>2</v>
      </c>
      <c r="K12" s="50">
        <v>2</v>
      </c>
      <c r="L12" s="50">
        <v>3</v>
      </c>
      <c r="M12" s="50">
        <v>4</v>
      </c>
    </row>
    <row r="13" spans="1:13" ht="15" customHeight="1" x14ac:dyDescent="0.2">
      <c r="A13" s="50" t="s">
        <v>418</v>
      </c>
      <c r="B13" s="50">
        <v>0</v>
      </c>
      <c r="C13" s="50">
        <f>ROUND(C11*'Key Assumptions'!C16,0)</f>
        <v>0</v>
      </c>
      <c r="D13" s="50">
        <f>ROUND(D11*'Key Assumptions'!C16,0)</f>
        <v>0</v>
      </c>
      <c r="E13" s="50">
        <f>ROUND(E11*'Key Assumptions'!C16,0)</f>
        <v>0</v>
      </c>
      <c r="F13" s="50">
        <f>ROUND(F11*'Key Assumptions'!C16,0)</f>
        <v>0</v>
      </c>
      <c r="G13" s="50">
        <f>ROUND(G11*'Key Assumptions'!C16,0)</f>
        <v>0</v>
      </c>
      <c r="H13" s="50">
        <f>ROUND(H11*'Key Assumptions'!C16,0)</f>
        <v>0</v>
      </c>
      <c r="I13" s="50">
        <f>ROUND(I11*'Key Assumptions'!C16,0)</f>
        <v>0</v>
      </c>
      <c r="J13" s="50">
        <f>ROUND(J11*'Key Assumptions'!C16,0)</f>
        <v>0</v>
      </c>
      <c r="K13" s="50">
        <f>ROUND(K11*'Key Assumptions'!C16,0)</f>
        <v>0</v>
      </c>
      <c r="L13" s="50">
        <f>ROUND(L11*'Key Assumptions'!C16,0)</f>
        <v>1</v>
      </c>
      <c r="M13" s="50">
        <f>ROUND(M11*'Key Assumptions'!C16,0)</f>
        <v>1</v>
      </c>
    </row>
    <row r="14" spans="1:13" ht="15" customHeight="1" x14ac:dyDescent="0.2">
      <c r="A14" s="50" t="s">
        <v>419</v>
      </c>
      <c r="B14" s="50">
        <f t="shared" ref="B14:M14" si="3">B11+B12-B13</f>
        <v>1</v>
      </c>
      <c r="C14" s="50">
        <f t="shared" si="3"/>
        <v>1</v>
      </c>
      <c r="D14" s="50">
        <f t="shared" si="3"/>
        <v>1</v>
      </c>
      <c r="E14" s="50">
        <f t="shared" si="3"/>
        <v>2</v>
      </c>
      <c r="F14" s="50">
        <f t="shared" si="3"/>
        <v>3</v>
      </c>
      <c r="G14" s="50">
        <f t="shared" si="3"/>
        <v>4</v>
      </c>
      <c r="H14" s="50">
        <f t="shared" si="3"/>
        <v>5</v>
      </c>
      <c r="I14" s="50">
        <f t="shared" si="3"/>
        <v>6</v>
      </c>
      <c r="J14" s="50">
        <f t="shared" si="3"/>
        <v>8</v>
      </c>
      <c r="K14" s="50">
        <f t="shared" si="3"/>
        <v>10</v>
      </c>
      <c r="L14" s="50">
        <f t="shared" si="3"/>
        <v>12</v>
      </c>
      <c r="M14" s="50">
        <f t="shared" si="3"/>
        <v>15</v>
      </c>
    </row>
    <row r="15" spans="1:13" ht="15" customHeight="1" x14ac:dyDescent="0.2">
      <c r="A15" s="50" t="s">
        <v>420</v>
      </c>
    </row>
    <row r="16" spans="1:13" ht="15" customHeight="1" x14ac:dyDescent="0.2">
      <c r="A16" s="50" t="s">
        <v>421</v>
      </c>
      <c r="B16" s="50">
        <v>0</v>
      </c>
      <c r="C16" s="50">
        <f t="shared" ref="C16:M16" si="4">B19</f>
        <v>0</v>
      </c>
      <c r="D16" s="50">
        <f t="shared" si="4"/>
        <v>0</v>
      </c>
      <c r="E16" s="50">
        <f t="shared" si="4"/>
        <v>0</v>
      </c>
      <c r="F16" s="50">
        <f t="shared" si="4"/>
        <v>0</v>
      </c>
      <c r="G16" s="50">
        <f t="shared" si="4"/>
        <v>0</v>
      </c>
      <c r="H16" s="50">
        <f t="shared" si="4"/>
        <v>1</v>
      </c>
      <c r="I16" s="50">
        <f t="shared" si="4"/>
        <v>1</v>
      </c>
      <c r="J16" s="50">
        <f t="shared" si="4"/>
        <v>1</v>
      </c>
      <c r="K16" s="50">
        <f t="shared" si="4"/>
        <v>2</v>
      </c>
      <c r="L16" s="50">
        <f t="shared" si="4"/>
        <v>3</v>
      </c>
      <c r="M16" s="50">
        <f t="shared" si="4"/>
        <v>3</v>
      </c>
    </row>
    <row r="17" spans="1:13" ht="15" customHeight="1" x14ac:dyDescent="0.2">
      <c r="A17" s="50" t="s">
        <v>422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1</v>
      </c>
      <c r="H17" s="50">
        <v>0</v>
      </c>
      <c r="I17" s="50">
        <v>0</v>
      </c>
      <c r="J17" s="50">
        <v>1</v>
      </c>
      <c r="K17" s="50">
        <v>1</v>
      </c>
      <c r="L17" s="50">
        <v>0</v>
      </c>
      <c r="M17" s="50">
        <v>0</v>
      </c>
    </row>
    <row r="18" spans="1:13" ht="15" customHeight="1" x14ac:dyDescent="0.2">
      <c r="A18" s="50" t="s">
        <v>423</v>
      </c>
      <c r="B18" s="50">
        <v>0</v>
      </c>
      <c r="C18" s="50">
        <f>ROUND(C16*'Key Assumptions'!C16,0)</f>
        <v>0</v>
      </c>
      <c r="D18" s="50">
        <f>ROUND(D16*'Key Assumptions'!C16,0)</f>
        <v>0</v>
      </c>
      <c r="E18" s="50">
        <f>ROUND(E16*'Key Assumptions'!C16,0)</f>
        <v>0</v>
      </c>
      <c r="F18" s="50">
        <f>ROUND(F16*'Key Assumptions'!C16,0)</f>
        <v>0</v>
      </c>
      <c r="G18" s="50">
        <f>ROUND(G16*'Key Assumptions'!C16,0)</f>
        <v>0</v>
      </c>
      <c r="H18" s="50">
        <f>ROUND(H16*'Key Assumptions'!C16,0)</f>
        <v>0</v>
      </c>
      <c r="I18" s="50">
        <f>ROUND(I16*'Key Assumptions'!C16,0)</f>
        <v>0</v>
      </c>
      <c r="J18" s="50">
        <f>ROUND(J16*'Key Assumptions'!C16,0)</f>
        <v>0</v>
      </c>
      <c r="K18" s="50">
        <f>ROUND(K16*'Key Assumptions'!C16,0)</f>
        <v>0</v>
      </c>
      <c r="L18" s="50">
        <f>ROUND(L16*'Key Assumptions'!C16,0)</f>
        <v>0</v>
      </c>
      <c r="M18" s="50">
        <f>ROUND(M16*'Key Assumptions'!C16,0)</f>
        <v>0</v>
      </c>
    </row>
    <row r="19" spans="1:13" ht="15" customHeight="1" x14ac:dyDescent="0.2">
      <c r="A19" s="50" t="s">
        <v>424</v>
      </c>
      <c r="B19" s="50">
        <f t="shared" ref="B19:M19" si="5">B16+B17-B18</f>
        <v>0</v>
      </c>
      <c r="C19" s="50">
        <f t="shared" si="5"/>
        <v>0</v>
      </c>
      <c r="D19" s="50">
        <f t="shared" si="5"/>
        <v>0</v>
      </c>
      <c r="E19" s="50">
        <f t="shared" si="5"/>
        <v>0</v>
      </c>
      <c r="F19" s="50">
        <f t="shared" si="5"/>
        <v>0</v>
      </c>
      <c r="G19" s="50">
        <f t="shared" si="5"/>
        <v>1</v>
      </c>
      <c r="H19" s="50">
        <f t="shared" si="5"/>
        <v>1</v>
      </c>
      <c r="I19" s="50">
        <f t="shared" si="5"/>
        <v>1</v>
      </c>
      <c r="J19" s="50">
        <f t="shared" si="5"/>
        <v>2</v>
      </c>
      <c r="K19" s="50">
        <f t="shared" si="5"/>
        <v>3</v>
      </c>
      <c r="L19" s="50">
        <f t="shared" si="5"/>
        <v>3</v>
      </c>
      <c r="M19" s="50">
        <f t="shared" si="5"/>
        <v>3</v>
      </c>
    </row>
    <row r="20" spans="1:13" ht="15" customHeight="1" x14ac:dyDescent="0.2">
      <c r="A20" s="50" t="s">
        <v>425</v>
      </c>
    </row>
    <row r="21" spans="1:13" ht="15" customHeight="1" x14ac:dyDescent="0.2">
      <c r="A21" s="50" t="s">
        <v>426</v>
      </c>
    </row>
    <row r="22" spans="1:13" ht="15" customHeight="1" x14ac:dyDescent="0.2">
      <c r="A22" s="50" t="s">
        <v>427</v>
      </c>
      <c r="B22" s="50">
        <v>5</v>
      </c>
      <c r="C22" s="50">
        <v>0</v>
      </c>
      <c r="D22" s="50">
        <v>5</v>
      </c>
      <c r="E22" s="50">
        <v>5</v>
      </c>
      <c r="F22" s="50">
        <v>5</v>
      </c>
      <c r="G22" s="50">
        <v>5</v>
      </c>
      <c r="H22" s="50">
        <v>5</v>
      </c>
      <c r="I22" s="50">
        <v>10</v>
      </c>
      <c r="J22" s="50">
        <v>10</v>
      </c>
      <c r="K22" s="50">
        <v>10</v>
      </c>
      <c r="L22" s="50">
        <v>15</v>
      </c>
      <c r="M22" s="50">
        <v>10</v>
      </c>
    </row>
    <row r="23" spans="1:13" ht="15" customHeight="1" x14ac:dyDescent="0.2">
      <c r="A23" s="50" t="s">
        <v>428</v>
      </c>
      <c r="B23" s="50">
        <v>5</v>
      </c>
      <c r="C23" s="50">
        <v>0</v>
      </c>
      <c r="D23" s="50">
        <v>0</v>
      </c>
      <c r="E23" s="50">
        <v>5</v>
      </c>
      <c r="F23" s="50">
        <v>5</v>
      </c>
      <c r="G23" s="50">
        <v>5</v>
      </c>
      <c r="H23" s="50">
        <v>5</v>
      </c>
      <c r="I23" s="50">
        <v>5</v>
      </c>
      <c r="J23" s="50">
        <v>10</v>
      </c>
      <c r="K23" s="50">
        <v>10</v>
      </c>
      <c r="L23" s="50">
        <v>15</v>
      </c>
      <c r="M23" s="50">
        <v>20</v>
      </c>
    </row>
    <row r="24" spans="1:13" ht="15" customHeight="1" x14ac:dyDescent="0.2">
      <c r="A24" s="50" t="s">
        <v>429</v>
      </c>
      <c r="B24" s="50">
        <v>0</v>
      </c>
      <c r="C24" s="50">
        <v>0</v>
      </c>
      <c r="D24" s="50">
        <v>0</v>
      </c>
      <c r="E24" s="50">
        <v>0</v>
      </c>
      <c r="F24" s="50">
        <v>0</v>
      </c>
      <c r="G24" s="50">
        <v>5</v>
      </c>
      <c r="H24" s="50">
        <v>0</v>
      </c>
      <c r="I24" s="50">
        <v>0</v>
      </c>
      <c r="J24" s="50">
        <v>5</v>
      </c>
      <c r="K24" s="50">
        <v>5</v>
      </c>
      <c r="L24" s="50">
        <v>0</v>
      </c>
      <c r="M24" s="50">
        <v>0</v>
      </c>
    </row>
    <row r="26" spans="1:13" ht="15" customHeight="1" x14ac:dyDescent="0.2">
      <c r="A26" s="50" t="s">
        <v>430</v>
      </c>
    </row>
    <row r="27" spans="1:13" ht="15" customHeight="1" x14ac:dyDescent="0.2">
      <c r="A27" s="50" t="s">
        <v>431</v>
      </c>
      <c r="B27" s="50">
        <f t="shared" ref="B27:M27" si="6">B8+B13+B18</f>
        <v>0</v>
      </c>
      <c r="C27" s="50">
        <f t="shared" si="6"/>
        <v>0</v>
      </c>
      <c r="D27" s="50">
        <f t="shared" si="6"/>
        <v>0</v>
      </c>
      <c r="E27" s="50">
        <f t="shared" si="6"/>
        <v>0</v>
      </c>
      <c r="F27" s="50">
        <f t="shared" si="6"/>
        <v>0</v>
      </c>
      <c r="G27" s="50">
        <f t="shared" si="6"/>
        <v>0</v>
      </c>
      <c r="H27" s="50">
        <f t="shared" si="6"/>
        <v>0</v>
      </c>
      <c r="I27" s="50">
        <f t="shared" si="6"/>
        <v>0</v>
      </c>
      <c r="J27" s="50">
        <f t="shared" si="6"/>
        <v>0</v>
      </c>
      <c r="K27" s="50">
        <f t="shared" si="6"/>
        <v>1</v>
      </c>
      <c r="L27" s="50">
        <f t="shared" si="6"/>
        <v>2</v>
      </c>
      <c r="M27" s="50">
        <f t="shared" si="6"/>
        <v>2</v>
      </c>
    </row>
    <row r="28" spans="1:13" ht="15" customHeight="1" x14ac:dyDescent="0.2">
      <c r="A28" s="50" t="s">
        <v>432</v>
      </c>
      <c r="B28" s="50">
        <f>'Income Statement'!B9+'Income Statement'!B25+'Income Statement'!B38</f>
        <v>35</v>
      </c>
      <c r="C28" s="50">
        <f>'Income Statement'!C9+'Income Statement'!C25+'Income Statement'!C38</f>
        <v>34</v>
      </c>
      <c r="D28" s="50">
        <f>'Income Statement'!D9+'Income Statement'!D25+'Income Statement'!D38</f>
        <v>33</v>
      </c>
      <c r="E28" s="50">
        <f>'Income Statement'!E9+'Income Statement'!E25+'Income Statement'!E38</f>
        <v>52</v>
      </c>
      <c r="F28" s="50">
        <f>'Income Statement'!F9+'Income Statement'!F25+'Income Statement'!F38</f>
        <v>70</v>
      </c>
      <c r="G28" s="50">
        <f>'Income Statement'!G9+'Income Statement'!G25+'Income Statement'!G38</f>
        <v>117</v>
      </c>
      <c r="H28" s="50">
        <f>'Income Statement'!H9+'Income Statement'!H25+'Income Statement'!H38</f>
        <v>132</v>
      </c>
      <c r="I28" s="50">
        <f>'Income Statement'!I9+'Income Statement'!I25+'Income Statement'!I38</f>
        <v>147</v>
      </c>
      <c r="J28" s="50">
        <f>'Income Statement'!J9+'Income Statement'!J25+'Income Statement'!J38</f>
        <v>211</v>
      </c>
      <c r="K28" s="50">
        <f>'Income Statement'!K9+'Income Statement'!K25+'Income Statement'!K38</f>
        <v>271</v>
      </c>
      <c r="L28" s="50">
        <f>'Income Statement'!L9+'Income Statement'!L25+'Income Statement'!L38</f>
        <v>318</v>
      </c>
      <c r="M28" s="50">
        <f>'Income Statement'!M9+'Income Statement'!M25+'Income Statement'!M38</f>
        <v>383</v>
      </c>
    </row>
    <row r="29" spans="1:13" ht="15" customHeight="1" x14ac:dyDescent="0.2">
      <c r="A29" s="50" t="s">
        <v>433</v>
      </c>
      <c r="B29" s="50">
        <f>IFERROR('Income Statement'!B52/B27,0)</f>
        <v>0</v>
      </c>
      <c r="C29" s="50">
        <f>IFERROR('Income Statement'!C52/C27,0)</f>
        <v>0</v>
      </c>
      <c r="D29" s="50">
        <f>IFERROR('Income Statement'!D52/D27,0)</f>
        <v>0</v>
      </c>
      <c r="E29" s="50">
        <f>IFERROR('Income Statement'!E52/E27,0)</f>
        <v>0</v>
      </c>
      <c r="F29" s="50">
        <f>IFERROR('Income Statement'!F52/F27,0)</f>
        <v>0</v>
      </c>
      <c r="G29" s="50">
        <f>IFERROR('Income Statement'!G52/G27,0)</f>
        <v>0</v>
      </c>
      <c r="H29" s="50">
        <f>IFERROR('Income Statement'!H52/H27,0)</f>
        <v>0</v>
      </c>
      <c r="I29" s="50">
        <f>IFERROR('Income Statement'!I52/I27,0)</f>
        <v>0</v>
      </c>
      <c r="J29" s="50">
        <f>IFERROR('Income Statement'!J52/J27,0)</f>
        <v>0</v>
      </c>
      <c r="K29" s="50">
        <f>IFERROR('Income Statement'!K52/K27,0)</f>
        <v>35938</v>
      </c>
      <c r="L29" s="50">
        <f>IFERROR('Income Statement'!L52/L27,0)</f>
        <v>19687.5</v>
      </c>
      <c r="M29" s="50">
        <f>IFERROR('Income Statement'!M52/M27,0)</f>
        <v>22036</v>
      </c>
    </row>
    <row r="30" spans="1:13" ht="15" customHeight="1" x14ac:dyDescent="0.2">
      <c r="A30" s="50" t="s">
        <v>434</v>
      </c>
      <c r="B30" s="50">
        <f t="shared" ref="B30:M30" si="7">B29*4</f>
        <v>0</v>
      </c>
      <c r="C30" s="50">
        <f t="shared" si="7"/>
        <v>0</v>
      </c>
      <c r="D30" s="50">
        <f t="shared" si="7"/>
        <v>0</v>
      </c>
      <c r="E30" s="50">
        <f t="shared" si="7"/>
        <v>0</v>
      </c>
      <c r="F30" s="50">
        <f t="shared" si="7"/>
        <v>0</v>
      </c>
      <c r="G30" s="50">
        <f t="shared" si="7"/>
        <v>0</v>
      </c>
      <c r="H30" s="50">
        <f t="shared" si="7"/>
        <v>0</v>
      </c>
      <c r="I30" s="50">
        <f t="shared" si="7"/>
        <v>0</v>
      </c>
      <c r="J30" s="50">
        <f t="shared" si="7"/>
        <v>0</v>
      </c>
      <c r="K30" s="50">
        <f t="shared" si="7"/>
        <v>143752</v>
      </c>
      <c r="L30" s="50">
        <f t="shared" si="7"/>
        <v>78750</v>
      </c>
      <c r="M30" s="50">
        <f t="shared" si="7"/>
        <v>88144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Key Assumptions</vt:lpstr>
      <vt:lpstr>Income Statement</vt:lpstr>
      <vt:lpstr>Unit Economics</vt:lpstr>
      <vt:lpstr>Balance Sheet</vt:lpstr>
      <vt:lpstr>Cash Flow</vt:lpstr>
      <vt:lpstr>Headcount Plan</vt:lpstr>
      <vt:lpstr>ARR Waterfall</vt:lpstr>
      <vt:lpstr>Account Waterfall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 Natarajan</dc:creator>
  <cp:lastModifiedBy>Natarajan, Ansel</cp:lastModifiedBy>
  <cp:revision>0</cp:revision>
  <dcterms:created xsi:type="dcterms:W3CDTF">2025-11-18T09:11:53Z</dcterms:created>
  <dcterms:modified xsi:type="dcterms:W3CDTF">2026-05-17T13:28:35Z</dcterms:modified>
  <dc:language>en-US</dc:language>
</cp:coreProperties>
</file>